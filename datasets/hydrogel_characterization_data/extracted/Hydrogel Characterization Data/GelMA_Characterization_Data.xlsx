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ganderson/Library/CloudStorage/GoogleDrive-andersonm@gwmail.gwu.edu/My Drive/Projects &amp; Publications/GelMA characterization/AcousticPaperDrafts/CharacterizationPaper_SubmissionMaterials/"/>
    </mc:Choice>
  </mc:AlternateContent>
  <xr:revisionPtr revIDLastSave="0" documentId="13_ncr:1_{86245462-1BDB-5441-AAC2-C4B9EA7F1AF8}" xr6:coauthVersionLast="47" xr6:coauthVersionMax="47" xr10:uidLastSave="{00000000-0000-0000-0000-000000000000}"/>
  <bookViews>
    <workbookView xWindow="-51200" yWindow="-7460" windowWidth="25600" windowHeight="28300" xr2:uid="{00000000-000D-0000-FFFF-FFFF00000000}"/>
  </bookViews>
  <sheets>
    <sheet name="AcousticImpedance" sheetId="8" r:id="rId1"/>
    <sheet name="AttenuationCoefficients" sheetId="9" r:id="rId2"/>
    <sheet name="BulkModulus" sheetId="5" r:id="rId3"/>
    <sheet name="Density" sheetId="1" r:id="rId4"/>
    <sheet name="PoissonsRatio" sheetId="10" r:id="rId5"/>
    <sheet name="SpeedOfSound" sheetId="7" r:id="rId6"/>
    <sheet name="Viscosities" sheetId="12" r:id="rId7"/>
    <sheet name="YoungsModulus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7" l="1"/>
  <c r="M11" i="7"/>
  <c r="L6" i="10" l="1"/>
  <c r="L5" i="10"/>
  <c r="J5" i="5"/>
  <c r="J6" i="5"/>
  <c r="L7" i="10" l="1"/>
  <c r="L8" i="10"/>
  <c r="L9" i="10"/>
  <c r="L10" i="10"/>
  <c r="L11" i="10"/>
  <c r="L12" i="10"/>
  <c r="L13" i="10"/>
  <c r="L14" i="10"/>
  <c r="L15" i="10"/>
  <c r="L16" i="10"/>
  <c r="F5" i="10"/>
  <c r="F16" i="10"/>
  <c r="J16" i="5"/>
  <c r="J16" i="8"/>
  <c r="J5" i="8"/>
  <c r="J7" i="5" l="1"/>
  <c r="J8" i="5"/>
  <c r="J9" i="5"/>
  <c r="J10" i="5"/>
  <c r="J11" i="5"/>
  <c r="J12" i="5"/>
  <c r="J13" i="5"/>
  <c r="J14" i="5"/>
  <c r="J15" i="5"/>
  <c r="I5" i="5"/>
  <c r="J6" i="8"/>
  <c r="J7" i="8"/>
  <c r="J8" i="8"/>
  <c r="J9" i="8"/>
  <c r="J10" i="8"/>
  <c r="J11" i="8"/>
  <c r="J12" i="8"/>
  <c r="J13" i="8"/>
  <c r="J14" i="8"/>
  <c r="J15" i="8"/>
  <c r="I5" i="8"/>
  <c r="I14" i="5"/>
  <c r="K5" i="10"/>
  <c r="K12" i="10" l="1"/>
  <c r="F12" i="10"/>
  <c r="E12" i="10"/>
  <c r="I12" i="5"/>
  <c r="I12" i="8"/>
  <c r="H5" i="5" l="1"/>
  <c r="G5" i="5"/>
  <c r="M5" i="7"/>
  <c r="N9" i="7"/>
  <c r="I6" i="8"/>
  <c r="J6" i="10" l="1"/>
  <c r="J7" i="10"/>
  <c r="J8" i="10"/>
  <c r="J9" i="10"/>
  <c r="J10" i="10"/>
  <c r="J11" i="10"/>
  <c r="J12" i="10"/>
  <c r="J13" i="10"/>
  <c r="J14" i="10"/>
  <c r="J15" i="10"/>
  <c r="J16" i="10"/>
  <c r="J5" i="10"/>
  <c r="I5" i="10"/>
  <c r="I6" i="10"/>
  <c r="I7" i="10"/>
  <c r="I8" i="10"/>
  <c r="I9" i="10"/>
  <c r="I10" i="10"/>
  <c r="I11" i="10"/>
  <c r="I12" i="10"/>
  <c r="I13" i="10"/>
  <c r="I14" i="10"/>
  <c r="I15" i="10"/>
  <c r="I16" i="10"/>
  <c r="F6" i="10"/>
  <c r="F7" i="10"/>
  <c r="F8" i="10"/>
  <c r="F9" i="10"/>
  <c r="F10" i="10"/>
  <c r="F11" i="10"/>
  <c r="F13" i="10"/>
  <c r="F14" i="10"/>
  <c r="F15" i="10"/>
  <c r="E5" i="10"/>
  <c r="E16" i="10"/>
  <c r="K16" i="10" s="1"/>
  <c r="E15" i="10"/>
  <c r="K15" i="10" s="1"/>
  <c r="E14" i="10"/>
  <c r="E13" i="10"/>
  <c r="E11" i="10"/>
  <c r="K11" i="10" s="1"/>
  <c r="E10" i="10"/>
  <c r="K10" i="10" s="1"/>
  <c r="E9" i="10"/>
  <c r="K9" i="10" s="1"/>
  <c r="E8" i="10"/>
  <c r="K8" i="10" s="1"/>
  <c r="E7" i="10"/>
  <c r="K7" i="10" s="1"/>
  <c r="E6" i="10"/>
  <c r="I16" i="5"/>
  <c r="I6" i="5"/>
  <c r="I9" i="5"/>
  <c r="I13" i="5"/>
  <c r="H16" i="5"/>
  <c r="G16" i="5"/>
  <c r="H15" i="5"/>
  <c r="G15" i="5"/>
  <c r="I15" i="5" s="1"/>
  <c r="H14" i="5"/>
  <c r="G14" i="5"/>
  <c r="H13" i="5"/>
  <c r="G13" i="5"/>
  <c r="H12" i="5"/>
  <c r="G12" i="5"/>
  <c r="H11" i="5"/>
  <c r="G11" i="5"/>
  <c r="I11" i="5" s="1"/>
  <c r="H10" i="5"/>
  <c r="G10" i="5"/>
  <c r="I10" i="5" s="1"/>
  <c r="H9" i="5"/>
  <c r="G9" i="5"/>
  <c r="H8" i="5"/>
  <c r="G8" i="5"/>
  <c r="I8" i="5" s="1"/>
  <c r="H7" i="5"/>
  <c r="G7" i="5"/>
  <c r="I7" i="5" s="1"/>
  <c r="H6" i="5"/>
  <c r="G6" i="5"/>
  <c r="K13" i="10" l="1"/>
  <c r="K6" i="10"/>
  <c r="K14" i="10"/>
  <c r="P5" i="4"/>
  <c r="Q16" i="4"/>
  <c r="P16" i="4"/>
  <c r="Q15" i="4"/>
  <c r="P15" i="4"/>
  <c r="Q14" i="4"/>
  <c r="P14" i="4"/>
  <c r="Q13" i="4"/>
  <c r="P13" i="4"/>
  <c r="Q12" i="4"/>
  <c r="P12" i="4"/>
  <c r="Q11" i="4"/>
  <c r="P11" i="4"/>
  <c r="Q10" i="4"/>
  <c r="P10" i="4"/>
  <c r="Q9" i="4"/>
  <c r="P9" i="4"/>
  <c r="Q8" i="4"/>
  <c r="P8" i="4"/>
  <c r="Q7" i="4"/>
  <c r="P7" i="4"/>
  <c r="Q6" i="4"/>
  <c r="P6" i="4"/>
  <c r="Q5" i="4"/>
  <c r="I8" i="8"/>
  <c r="I11" i="8"/>
  <c r="I16" i="8"/>
  <c r="H6" i="8"/>
  <c r="H7" i="8"/>
  <c r="H8" i="8"/>
  <c r="H9" i="8"/>
  <c r="H10" i="8"/>
  <c r="H11" i="8"/>
  <c r="H12" i="8"/>
  <c r="H13" i="8"/>
  <c r="H14" i="8"/>
  <c r="H15" i="8"/>
  <c r="H16" i="8"/>
  <c r="H5" i="8"/>
  <c r="G6" i="8"/>
  <c r="G7" i="8"/>
  <c r="I7" i="8" s="1"/>
  <c r="G8" i="8"/>
  <c r="G9" i="8"/>
  <c r="I9" i="8" s="1"/>
  <c r="G10" i="8"/>
  <c r="I10" i="8" s="1"/>
  <c r="G11" i="8"/>
  <c r="G12" i="8"/>
  <c r="G13" i="8"/>
  <c r="I13" i="8" s="1"/>
  <c r="G14" i="8"/>
  <c r="I14" i="8" s="1"/>
  <c r="G15" i="8"/>
  <c r="I15" i="8" s="1"/>
  <c r="G16" i="8"/>
  <c r="G5" i="8"/>
  <c r="N6" i="7"/>
  <c r="N7" i="7"/>
  <c r="N8" i="7"/>
  <c r="N10" i="7"/>
  <c r="N12" i="7"/>
  <c r="N13" i="7"/>
  <c r="N14" i="7"/>
  <c r="N15" i="7"/>
  <c r="N16" i="7"/>
  <c r="N5" i="7"/>
  <c r="M8" i="7"/>
  <c r="M6" i="7"/>
  <c r="M7" i="7"/>
  <c r="M9" i="7"/>
  <c r="M10" i="7"/>
  <c r="M12" i="7"/>
  <c r="M13" i="7"/>
  <c r="M14" i="7"/>
  <c r="M15" i="7"/>
  <c r="M16" i="7"/>
  <c r="H9" i="1"/>
  <c r="E9" i="1"/>
  <c r="G9" i="1" s="1"/>
  <c r="I9" i="1" s="1"/>
  <c r="H10" i="1"/>
  <c r="E10" i="1"/>
  <c r="G10" i="1" s="1"/>
  <c r="H8" i="1"/>
  <c r="E8" i="1"/>
  <c r="G8" i="1" s="1"/>
  <c r="H65" i="1"/>
  <c r="E65" i="1"/>
  <c r="G65" i="1" s="1"/>
  <c r="H60" i="1"/>
  <c r="E60" i="1"/>
  <c r="G60" i="1" s="1"/>
  <c r="H54" i="1"/>
  <c r="E54" i="1"/>
  <c r="G54" i="1" s="1"/>
  <c r="H49" i="1"/>
  <c r="E49" i="1"/>
  <c r="G49" i="1" s="1"/>
  <c r="H44" i="1"/>
  <c r="E44" i="1"/>
  <c r="G44" i="1" s="1"/>
  <c r="H40" i="1"/>
  <c r="E40" i="1"/>
  <c r="G40" i="1" s="1"/>
  <c r="H35" i="1"/>
  <c r="E35" i="1"/>
  <c r="G35" i="1" s="1"/>
  <c r="H30" i="1"/>
  <c r="E30" i="1"/>
  <c r="G30" i="1" s="1"/>
  <c r="I30" i="1" s="1"/>
  <c r="H25" i="1"/>
  <c r="E25" i="1"/>
  <c r="G25" i="1" s="1"/>
  <c r="H15" i="1"/>
  <c r="E15" i="1"/>
  <c r="G15" i="1" s="1"/>
  <c r="H63" i="1"/>
  <c r="E63" i="1"/>
  <c r="G63" i="1" s="1"/>
  <c r="H58" i="1"/>
  <c r="E58" i="1"/>
  <c r="G58" i="1" s="1"/>
  <c r="H53" i="1"/>
  <c r="E53" i="1"/>
  <c r="G53" i="1" s="1"/>
  <c r="H48" i="1"/>
  <c r="E48" i="1"/>
  <c r="G48" i="1" s="1"/>
  <c r="H43" i="1"/>
  <c r="E43" i="1"/>
  <c r="G43" i="1" s="1"/>
  <c r="H38" i="1"/>
  <c r="E38" i="1"/>
  <c r="G38" i="1" s="1"/>
  <c r="H33" i="1"/>
  <c r="E33" i="1"/>
  <c r="G33" i="1" s="1"/>
  <c r="H28" i="1"/>
  <c r="E28" i="1"/>
  <c r="G28" i="1" s="1"/>
  <c r="I28" i="1" s="1"/>
  <c r="H23" i="1"/>
  <c r="E23" i="1"/>
  <c r="G23" i="1" s="1"/>
  <c r="H20" i="1"/>
  <c r="E20" i="1"/>
  <c r="G20" i="1" s="1"/>
  <c r="H14" i="1"/>
  <c r="E14" i="1"/>
  <c r="G14" i="1" s="1"/>
  <c r="F64" i="1"/>
  <c r="H64" i="1" s="1"/>
  <c r="E64" i="1"/>
  <c r="G64" i="1" s="1"/>
  <c r="F59" i="1"/>
  <c r="H59" i="1" s="1"/>
  <c r="E59" i="1"/>
  <c r="G59" i="1" s="1"/>
  <c r="F55" i="1"/>
  <c r="H55" i="1" s="1"/>
  <c r="E55" i="1"/>
  <c r="G55" i="1" s="1"/>
  <c r="F50" i="1"/>
  <c r="H50" i="1" s="1"/>
  <c r="E50" i="1"/>
  <c r="G50" i="1" s="1"/>
  <c r="F45" i="1"/>
  <c r="H45" i="1" s="1"/>
  <c r="E45" i="1"/>
  <c r="G45" i="1" s="1"/>
  <c r="F39" i="1"/>
  <c r="H39" i="1" s="1"/>
  <c r="E39" i="1"/>
  <c r="G39" i="1" s="1"/>
  <c r="F34" i="1"/>
  <c r="H34" i="1" s="1"/>
  <c r="E34" i="1"/>
  <c r="G34" i="1" s="1"/>
  <c r="F29" i="1"/>
  <c r="H29" i="1" s="1"/>
  <c r="E29" i="1"/>
  <c r="G29" i="1" s="1"/>
  <c r="F24" i="1"/>
  <c r="H24" i="1" s="1"/>
  <c r="E24" i="1"/>
  <c r="G24" i="1" s="1"/>
  <c r="F19" i="1"/>
  <c r="H19" i="1" s="1"/>
  <c r="E19" i="1"/>
  <c r="G19" i="1" s="1"/>
  <c r="F62" i="1"/>
  <c r="H62" i="1" s="1"/>
  <c r="E62" i="1"/>
  <c r="G62" i="1" s="1"/>
  <c r="F57" i="1"/>
  <c r="H57" i="1" s="1"/>
  <c r="E57" i="1"/>
  <c r="G57" i="1" s="1"/>
  <c r="F52" i="1"/>
  <c r="H52" i="1" s="1"/>
  <c r="E52" i="1"/>
  <c r="G52" i="1" s="1"/>
  <c r="F46" i="1"/>
  <c r="H46" i="1" s="1"/>
  <c r="E46" i="1"/>
  <c r="G46" i="1" s="1"/>
  <c r="F42" i="1"/>
  <c r="H42" i="1" s="1"/>
  <c r="E42" i="1"/>
  <c r="G42" i="1" s="1"/>
  <c r="F37" i="1"/>
  <c r="H37" i="1" s="1"/>
  <c r="E37" i="1"/>
  <c r="G37" i="1" s="1"/>
  <c r="F32" i="1"/>
  <c r="H32" i="1" s="1"/>
  <c r="E32" i="1"/>
  <c r="G32" i="1" s="1"/>
  <c r="F27" i="1"/>
  <c r="H27" i="1" s="1"/>
  <c r="E27" i="1"/>
  <c r="G27" i="1" s="1"/>
  <c r="F22" i="1"/>
  <c r="H22" i="1" s="1"/>
  <c r="E22" i="1"/>
  <c r="G22" i="1" s="1"/>
  <c r="F18" i="1"/>
  <c r="H18" i="1" s="1"/>
  <c r="E18" i="1"/>
  <c r="G18" i="1" s="1"/>
  <c r="F13" i="1"/>
  <c r="H13" i="1" s="1"/>
  <c r="E13" i="1"/>
  <c r="G13" i="1" s="1"/>
  <c r="F7" i="1"/>
  <c r="H7" i="1" s="1"/>
  <c r="E7" i="1"/>
  <c r="G7" i="1" s="1"/>
  <c r="H41" i="1"/>
  <c r="G41" i="1"/>
  <c r="I41" i="1" s="1"/>
  <c r="H36" i="1"/>
  <c r="G36" i="1"/>
  <c r="H31" i="1"/>
  <c r="G31" i="1"/>
  <c r="G61" i="1"/>
  <c r="H26" i="1"/>
  <c r="G26" i="1"/>
  <c r="H56" i="1"/>
  <c r="G56" i="1"/>
  <c r="H51" i="1"/>
  <c r="G51" i="1"/>
  <c r="H47" i="1"/>
  <c r="G47" i="1"/>
  <c r="H21" i="1"/>
  <c r="G21" i="1"/>
  <c r="H17" i="1"/>
  <c r="G17" i="1"/>
  <c r="H16" i="1"/>
  <c r="G16" i="1"/>
  <c r="H12" i="1"/>
  <c r="G12" i="1"/>
  <c r="G11" i="1"/>
  <c r="F11" i="1"/>
  <c r="H11" i="1" s="1"/>
  <c r="H61" i="1"/>
  <c r="H6" i="1"/>
  <c r="G6" i="1"/>
  <c r="I17" i="1" l="1"/>
  <c r="I56" i="1"/>
  <c r="I6" i="1"/>
  <c r="I57" i="1"/>
  <c r="I50" i="1"/>
  <c r="I14" i="1"/>
  <c r="I44" i="1"/>
  <c r="I51" i="1"/>
  <c r="I23" i="1"/>
  <c r="I63" i="1"/>
  <c r="I39" i="1"/>
  <c r="I59" i="1"/>
  <c r="I34" i="1"/>
  <c r="I12" i="1"/>
  <c r="I37" i="1"/>
  <c r="I15" i="1"/>
  <c r="I61" i="1"/>
  <c r="I35" i="1"/>
  <c r="I38" i="1"/>
  <c r="I49" i="1"/>
  <c r="I18" i="1"/>
  <c r="I31" i="1"/>
  <c r="I13" i="1"/>
  <c r="I52" i="1"/>
  <c r="I32" i="1"/>
  <c r="I7" i="1"/>
  <c r="I53" i="1"/>
  <c r="I10" i="1"/>
  <c r="I29" i="1"/>
  <c r="I45" i="1"/>
  <c r="I43" i="1"/>
  <c r="I58" i="1"/>
  <c r="I65" i="1"/>
  <c r="I55" i="1"/>
  <c r="I20" i="1"/>
  <c r="I25" i="1"/>
  <c r="I40" i="1"/>
  <c r="I60" i="1"/>
  <c r="I33" i="1"/>
  <c r="I48" i="1"/>
  <c r="I54" i="1"/>
  <c r="I8" i="1"/>
  <c r="I24" i="1"/>
  <c r="I19" i="1"/>
  <c r="I64" i="1"/>
  <c r="I36" i="1"/>
  <c r="I16" i="1"/>
  <c r="I26" i="1"/>
  <c r="I47" i="1"/>
  <c r="I62" i="1"/>
  <c r="I46" i="1"/>
  <c r="I42" i="1"/>
  <c r="I22" i="1"/>
  <c r="I27" i="1"/>
  <c r="I21" i="1"/>
  <c r="I11" i="1"/>
  <c r="K41" i="1" l="1"/>
  <c r="K6" i="1"/>
  <c r="K11" i="1"/>
  <c r="K26" i="1"/>
  <c r="K56" i="1"/>
  <c r="K61" i="1"/>
  <c r="K51" i="1"/>
  <c r="K46" i="1"/>
  <c r="K21" i="1"/>
  <c r="K16" i="1"/>
  <c r="K36" i="1"/>
  <c r="K31" i="1"/>
  <c r="J41" i="1"/>
  <c r="J6" i="1"/>
  <c r="J11" i="1"/>
  <c r="J56" i="1"/>
  <c r="J51" i="1"/>
  <c r="J61" i="1"/>
  <c r="J26" i="1"/>
  <c r="J21" i="1"/>
  <c r="J16" i="1"/>
  <c r="J46" i="1"/>
  <c r="J36" i="1"/>
  <c r="J31" i="1"/>
</calcChain>
</file>

<file path=xl/sharedStrings.xml><?xml version="1.0" encoding="utf-8"?>
<sst xmlns="http://schemas.openxmlformats.org/spreadsheetml/2006/main" count="258" uniqueCount="87">
  <si>
    <t>Density calculations using the buoyancy principle</t>
  </si>
  <si>
    <t># Runs</t>
  </si>
  <si>
    <t>Standard Deviation</t>
  </si>
  <si>
    <t xml:space="preserve">With wire </t>
  </si>
  <si>
    <t xml:space="preserve">Without wire </t>
  </si>
  <si>
    <t>Sample type</t>
  </si>
  <si>
    <t>Density of fluid</t>
  </si>
  <si>
    <t>Object weight</t>
  </si>
  <si>
    <t>Immersed object weight</t>
  </si>
  <si>
    <t>Wire weight</t>
  </si>
  <si>
    <t>Immersed wire weight</t>
  </si>
  <si>
    <t>Density of object</t>
  </si>
  <si>
    <t>p_f (g/mL)</t>
  </si>
  <si>
    <t xml:space="preserve">m_0 (g) </t>
  </si>
  <si>
    <t xml:space="preserve">m_i (g) </t>
  </si>
  <si>
    <t xml:space="preserve">(g) </t>
  </si>
  <si>
    <t xml:space="preserve">p_0 (g/mL) </t>
  </si>
  <si>
    <t>Avg density</t>
  </si>
  <si>
    <t>Standard deviation</t>
  </si>
  <si>
    <t>g/mL</t>
  </si>
  <si>
    <t xml:space="preserve">These measurements were performed on GelMA samples hydrated in pure water. The fluids used for immersing the samples were water (density of 1 g/mL) and ethyl alcohol (density of 0.789 g/mL). </t>
  </si>
  <si>
    <t>g/cm^3</t>
  </si>
  <si>
    <t xml:space="preserve">These calculations were performed using MATLAB. </t>
  </si>
  <si>
    <t>Number of runs</t>
  </si>
  <si>
    <t>Avg Speed of Sound</t>
  </si>
  <si>
    <t xml:space="preserve">Speed of sound (m/s) </t>
  </si>
  <si>
    <t>Acoustic impedance</t>
  </si>
  <si>
    <t>m/s</t>
  </si>
  <si>
    <t xml:space="preserve">Density of hydrogel </t>
  </si>
  <si>
    <t>kg/m^3</t>
  </si>
  <si>
    <t>10^6 kg/m^2s</t>
  </si>
  <si>
    <t>Avg (kPa)</t>
  </si>
  <si>
    <t xml:space="preserve">Young's modulus values from compression testing data </t>
  </si>
  <si>
    <t xml:space="preserve">Strains of 1-3% were considered for 20% 90s and 120s hydrogels. Strains of 1-6% were considered for all other samples. </t>
  </si>
  <si>
    <t>Young's moduli (kPa)</t>
  </si>
  <si>
    <t>Bulk modulus</t>
  </si>
  <si>
    <t>GPa</t>
  </si>
  <si>
    <t>Bulk Modulus</t>
  </si>
  <si>
    <t>Poisson's ratio</t>
  </si>
  <si>
    <t xml:space="preserve">Bulk modulus </t>
  </si>
  <si>
    <t>Pa</t>
  </si>
  <si>
    <t>Young's modulus</t>
  </si>
  <si>
    <t>kPa</t>
  </si>
  <si>
    <t>Speed of sound from acoustic measurements</t>
  </si>
  <si>
    <t>freq (MHz)</t>
  </si>
  <si>
    <t>10% GelMA attenuation coefficients (dB/cm)</t>
  </si>
  <si>
    <t>15% GelMA attenuation coefficients (dB/cm)</t>
  </si>
  <si>
    <t>20% GelMA attenuation coefficients (db/cm)</t>
  </si>
  <si>
    <t>Viscosity</t>
  </si>
  <si>
    <t>Pa.s</t>
  </si>
  <si>
    <t>Shear rate</t>
  </si>
  <si>
    <t>1/s</t>
  </si>
  <si>
    <t xml:space="preserve">Error </t>
  </si>
  <si>
    <t xml:space="preserve">Standard deviation </t>
  </si>
  <si>
    <t xml:space="preserve">Standard deviation  </t>
  </si>
  <si>
    <t>Attenuation coefficients</t>
  </si>
  <si>
    <t>Error 20% 60 s</t>
  </si>
  <si>
    <t>20% 60 s</t>
  </si>
  <si>
    <t>Error 20% 30 s</t>
  </si>
  <si>
    <t>20% 30 s</t>
  </si>
  <si>
    <t>15% 30 s</t>
  </si>
  <si>
    <t>Error 15% 30 s</t>
  </si>
  <si>
    <t>Error 10% 30 s</t>
  </si>
  <si>
    <t>10% 30 s</t>
  </si>
  <si>
    <t>10% 60 s</t>
  </si>
  <si>
    <t>Error 10% 60 s</t>
  </si>
  <si>
    <t>15% 60 s</t>
  </si>
  <si>
    <t>Error 15% 60 s</t>
  </si>
  <si>
    <t>20% 90 s</t>
  </si>
  <si>
    <t>Error 20% 90 s</t>
  </si>
  <si>
    <t>10% 90 s</t>
  </si>
  <si>
    <t>Error 10% 90 s</t>
  </si>
  <si>
    <t>15% 90 s</t>
  </si>
  <si>
    <t>Error 15% 90 s</t>
  </si>
  <si>
    <t>20% 120 s</t>
  </si>
  <si>
    <t>Error 20% 120 s</t>
  </si>
  <si>
    <t>15% 120 s</t>
  </si>
  <si>
    <t>Error 15% 120 s</t>
  </si>
  <si>
    <t>10% 120 s</t>
  </si>
  <si>
    <t>Error 10% 120 s</t>
  </si>
  <si>
    <t xml:space="preserve">15% 120 s </t>
  </si>
  <si>
    <t xml:space="preserve">20% 120 s </t>
  </si>
  <si>
    <t>30 s</t>
  </si>
  <si>
    <t xml:space="preserve">60 s </t>
  </si>
  <si>
    <t>90 s</t>
  </si>
  <si>
    <t>120 s</t>
  </si>
  <si>
    <t xml:space="preserve">90 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</si>
</sst>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000000"/>
  </numFmts>
  <fonts count="10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2" borderId="0" xfId="0" applyFill="1"/>
    <xf numFmtId="0" fontId="0" fillId="4" borderId="0" xfId="0" applyFill="1"/>
    <xf numFmtId="9" fontId="0" fillId="2" borderId="0" xfId="0" applyNumberFormat="1" applyFill="1"/>
    <xf numFmtId="0" fontId="4" fillId="0" borderId="0" xfId="0" applyFon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4" fillId="0" borderId="0" xfId="0" applyNumberFormat="1" applyFont="1"/>
    <xf numFmtId="0" fontId="0" fillId="0" borderId="5" xfId="0" applyBorder="1"/>
    <xf numFmtId="0" fontId="0" fillId="2" borderId="4" xfId="0" applyFill="1" applyBorder="1"/>
    <xf numFmtId="0" fontId="0" fillId="0" borderId="7" xfId="0" applyBorder="1"/>
    <xf numFmtId="0" fontId="0" fillId="0" borderId="8" xfId="0" applyBorder="1"/>
    <xf numFmtId="164" fontId="4" fillId="0" borderId="0" xfId="0" applyNumberFormat="1" applyFont="1"/>
    <xf numFmtId="0" fontId="5" fillId="0" borderId="0" xfId="0" applyFont="1" applyAlignment="1">
      <alignment vertical="center"/>
    </xf>
    <xf numFmtId="0" fontId="6" fillId="6" borderId="0" xfId="0" applyFont="1" applyFill="1"/>
    <xf numFmtId="14" fontId="0" fillId="0" borderId="1" xfId="0" applyNumberFormat="1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0" xfId="0" applyFill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1" xfId="0" applyBorder="1"/>
    <xf numFmtId="0" fontId="1" fillId="7" borderId="0" xfId="0" applyFont="1" applyFill="1" applyAlignment="1">
      <alignment vertical="center"/>
    </xf>
    <xf numFmtId="0" fontId="3" fillId="0" borderId="0" xfId="0" applyFont="1"/>
    <xf numFmtId="16" fontId="0" fillId="0" borderId="0" xfId="0" applyNumberFormat="1" applyAlignment="1">
      <alignment horizontal="center"/>
    </xf>
    <xf numFmtId="16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9" fontId="2" fillId="0" borderId="0" xfId="0" applyNumberFormat="1" applyFont="1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" fillId="9" borderId="0" xfId="0" applyFont="1" applyFill="1" applyAlignment="1">
      <alignment horizontal="center"/>
    </xf>
    <xf numFmtId="0" fontId="1" fillId="9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2" fontId="4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0" fontId="8" fillId="0" borderId="0" xfId="0" applyFont="1" applyAlignment="1">
      <alignment horizontal="left"/>
    </xf>
    <xf numFmtId="0" fontId="2" fillId="13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2" borderId="2" xfId="0" applyFill="1" applyBorder="1"/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wrapText="1"/>
    </xf>
    <xf numFmtId="9" fontId="4" fillId="5" borderId="0" xfId="0" applyNumberFormat="1" applyFont="1" applyFill="1"/>
    <xf numFmtId="0" fontId="4" fillId="5" borderId="0" xfId="0" applyFont="1" applyFill="1"/>
    <xf numFmtId="9" fontId="4" fillId="5" borderId="1" xfId="0" applyNumberFormat="1" applyFont="1" applyFill="1" applyBorder="1"/>
    <xf numFmtId="0" fontId="4" fillId="5" borderId="2" xfId="0" applyFont="1" applyFill="1" applyBorder="1"/>
    <xf numFmtId="0" fontId="4" fillId="5" borderId="4" xfId="0" applyFont="1" applyFill="1" applyBorder="1"/>
    <xf numFmtId="0" fontId="4" fillId="5" borderId="6" xfId="0" applyFont="1" applyFill="1" applyBorder="1"/>
    <xf numFmtId="0" fontId="4" fillId="5" borderId="7" xfId="0" applyFont="1" applyFill="1" applyBorder="1"/>
    <xf numFmtId="9" fontId="0" fillId="2" borderId="1" xfId="0" applyNumberFormat="1" applyFill="1" applyBorder="1"/>
    <xf numFmtId="0" fontId="0" fillId="2" borderId="6" xfId="0" applyFill="1" applyBorder="1"/>
    <xf numFmtId="0" fontId="0" fillId="2" borderId="7" xfId="0" applyFill="1" applyBorder="1"/>
    <xf numFmtId="2" fontId="0" fillId="0" borderId="7" xfId="0" applyNumberFormat="1" applyBorder="1" applyAlignment="1">
      <alignment horizontal="left"/>
    </xf>
    <xf numFmtId="9" fontId="0" fillId="0" borderId="1" xfId="0" applyNumberFormat="1" applyBorder="1"/>
    <xf numFmtId="0" fontId="4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0" fillId="4" borderId="5" xfId="0" applyFill="1" applyBorder="1"/>
    <xf numFmtId="0" fontId="0" fillId="4" borderId="7" xfId="0" applyFill="1" applyBorder="1"/>
    <xf numFmtId="0" fontId="0" fillId="4" borderId="8" xfId="0" applyFill="1" applyBorder="1"/>
    <xf numFmtId="0" fontId="2" fillId="4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/>
    </xf>
    <xf numFmtId="0" fontId="1" fillId="10" borderId="0" xfId="0" applyFont="1" applyFill="1" applyAlignment="1">
      <alignment horizontal="center" vertical="center" wrapText="1"/>
    </xf>
    <xf numFmtId="0" fontId="9" fillId="2" borderId="0" xfId="0" applyFont="1" applyFill="1"/>
    <xf numFmtId="0" fontId="0" fillId="2" borderId="5" xfId="0" applyFill="1" applyBorder="1"/>
    <xf numFmtId="0" fontId="9" fillId="2" borderId="4" xfId="0" applyFont="1" applyFill="1" applyBorder="1"/>
    <xf numFmtId="0" fontId="9" fillId="0" borderId="4" xfId="0" applyFont="1" applyBorder="1"/>
    <xf numFmtId="0" fontId="9" fillId="0" borderId="6" xfId="0" applyFont="1" applyBorder="1"/>
    <xf numFmtId="0" fontId="4" fillId="0" borderId="7" xfId="0" applyFont="1" applyBorder="1" applyAlignment="1">
      <alignment horizontal="left"/>
    </xf>
    <xf numFmtId="165" fontId="0" fillId="0" borderId="0" xfId="0" applyNumberFormat="1"/>
    <xf numFmtId="0" fontId="4" fillId="5" borderId="1" xfId="0" applyFont="1" applyFill="1" applyBorder="1"/>
    <xf numFmtId="0" fontId="4" fillId="5" borderId="3" xfId="0" applyFont="1" applyFill="1" applyBorder="1"/>
    <xf numFmtId="0" fontId="4" fillId="6" borderId="0" xfId="0" applyFont="1" applyFill="1"/>
    <xf numFmtId="0" fontId="0" fillId="17" borderId="0" xfId="0" applyFill="1"/>
    <xf numFmtId="0" fontId="0" fillId="17" borderId="4" xfId="0" applyFill="1" applyBorder="1"/>
    <xf numFmtId="0" fontId="0" fillId="17" borderId="5" xfId="0" applyFill="1" applyBorder="1"/>
    <xf numFmtId="0" fontId="7" fillId="12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4" fontId="2" fillId="2" borderId="0" xfId="0" applyNumberFormat="1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9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9" fontId="2" fillId="11" borderId="0" xfId="0" applyNumberFormat="1" applyFont="1" applyFill="1" applyAlignment="1">
      <alignment horizontal="left" vertical="center"/>
    </xf>
    <xf numFmtId="9" fontId="6" fillId="15" borderId="0" xfId="0" applyNumberFormat="1" applyFont="1" applyFill="1" applyAlignment="1">
      <alignment horizontal="left" vertical="center"/>
    </xf>
    <xf numFmtId="9" fontId="1" fillId="7" borderId="0" xfId="0" applyNumberFormat="1" applyFont="1" applyFill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zoomScale="130" zoomScaleNormal="130" workbookViewId="0">
      <selection activeCell="B5" sqref="B5:B16"/>
    </sheetView>
  </sheetViews>
  <sheetFormatPr baseColWidth="10" defaultColWidth="11" defaultRowHeight="16" x14ac:dyDescent="0.2"/>
  <cols>
    <col min="9" max="9" width="15.33203125" customWidth="1"/>
    <col min="11" max="11" width="11.6640625" customWidth="1"/>
  </cols>
  <sheetData>
    <row r="1" spans="1:14" ht="21" x14ac:dyDescent="0.25">
      <c r="A1" s="91" t="s">
        <v>26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3" spans="1:14" ht="34" x14ac:dyDescent="0.2">
      <c r="C3" s="48" t="s">
        <v>24</v>
      </c>
      <c r="D3" s="98" t="s">
        <v>18</v>
      </c>
      <c r="E3" s="50" t="s">
        <v>28</v>
      </c>
      <c r="F3" s="98" t="s">
        <v>18</v>
      </c>
      <c r="G3" s="50" t="s">
        <v>28</v>
      </c>
      <c r="H3" s="98" t="s">
        <v>18</v>
      </c>
      <c r="I3" s="43" t="s">
        <v>26</v>
      </c>
      <c r="J3" s="100" t="s">
        <v>53</v>
      </c>
      <c r="K3" s="101"/>
    </row>
    <row r="4" spans="1:14" x14ac:dyDescent="0.2">
      <c r="C4" s="49" t="s">
        <v>27</v>
      </c>
      <c r="D4" s="98"/>
      <c r="E4" s="51" t="s">
        <v>21</v>
      </c>
      <c r="F4" s="98"/>
      <c r="G4" s="51" t="s">
        <v>29</v>
      </c>
      <c r="H4" s="98"/>
      <c r="I4" s="42" t="s">
        <v>30</v>
      </c>
      <c r="J4" s="100"/>
      <c r="K4" s="101"/>
    </row>
    <row r="5" spans="1:14" x14ac:dyDescent="0.2">
      <c r="A5" s="55">
        <v>0.1</v>
      </c>
      <c r="B5" s="56" t="s">
        <v>82</v>
      </c>
      <c r="C5">
        <v>1511.787037037037</v>
      </c>
      <c r="D5">
        <v>5.8955714180797827</v>
      </c>
      <c r="E5">
        <v>1.0189462879259601</v>
      </c>
      <c r="F5">
        <v>2.9865397709473648E-3</v>
      </c>
      <c r="G5">
        <f>E5*1000</f>
        <v>1018.9462879259601</v>
      </c>
      <c r="H5">
        <f>F5*1000</f>
        <v>2.9865397709473647</v>
      </c>
      <c r="I5">
        <f>C5*G5/1000000</f>
        <v>1.5404297895234746</v>
      </c>
      <c r="J5">
        <f t="shared" ref="J5:J16" si="0">((((C5^2)*(H5^2))+((G5^2)*(D5^2)))^0.5)/1000000</f>
        <v>7.5148276471893498E-3</v>
      </c>
    </row>
    <row r="6" spans="1:14" x14ac:dyDescent="0.2">
      <c r="A6" s="56"/>
      <c r="B6" s="56" t="s">
        <v>83</v>
      </c>
      <c r="C6">
        <v>1519.1962962962964</v>
      </c>
      <c r="D6">
        <v>6.4392340047478811</v>
      </c>
      <c r="E6">
        <v>1.0206761073105692</v>
      </c>
      <c r="F6">
        <v>6.7963719202706564E-3</v>
      </c>
      <c r="G6">
        <f t="shared" ref="G6:G16" si="1">E6*1000</f>
        <v>1020.6761073105693</v>
      </c>
      <c r="H6">
        <f t="shared" ref="H6:H16" si="2">F6*1000</f>
        <v>6.7963719202706567</v>
      </c>
      <c r="I6">
        <f t="shared" ref="I6:I16" si="3">C6*G6/1000000</f>
        <v>1.5506073619443381</v>
      </c>
      <c r="J6">
        <f t="shared" si="0"/>
        <v>1.2239370024521497E-2</v>
      </c>
    </row>
    <row r="7" spans="1:14" x14ac:dyDescent="0.2">
      <c r="A7" s="56"/>
      <c r="B7" s="56" t="s">
        <v>84</v>
      </c>
      <c r="C7">
        <v>1516.4888888888888</v>
      </c>
      <c r="D7">
        <v>3.3410743448445124</v>
      </c>
      <c r="E7">
        <v>1.0212736649284273</v>
      </c>
      <c r="F7">
        <v>2.2370073379881128E-3</v>
      </c>
      <c r="G7">
        <f t="shared" si="1"/>
        <v>1021.2736649284273</v>
      </c>
      <c r="H7">
        <f t="shared" si="2"/>
        <v>2.2370073379881128</v>
      </c>
      <c r="I7">
        <f t="shared" si="3"/>
        <v>1.5487501653787941</v>
      </c>
      <c r="J7">
        <f t="shared" si="0"/>
        <v>4.8115623193207818E-3</v>
      </c>
    </row>
    <row r="8" spans="1:14" x14ac:dyDescent="0.2">
      <c r="A8" s="56"/>
      <c r="B8" s="56" t="s">
        <v>85</v>
      </c>
      <c r="C8">
        <v>1519.6185185185184</v>
      </c>
      <c r="D8">
        <v>6.5178624459402483</v>
      </c>
      <c r="E8">
        <v>1.027502203089333</v>
      </c>
      <c r="F8">
        <v>1.9093627688817666E-3</v>
      </c>
      <c r="G8">
        <f t="shared" si="1"/>
        <v>1027.5022030893331</v>
      </c>
      <c r="H8">
        <f t="shared" si="2"/>
        <v>1.9093627688817665</v>
      </c>
      <c r="I8">
        <f t="shared" si="3"/>
        <v>1.561411375633126</v>
      </c>
      <c r="J8">
        <f t="shared" si="0"/>
        <v>7.2986375164646568E-3</v>
      </c>
    </row>
    <row r="9" spans="1:14" x14ac:dyDescent="0.2">
      <c r="A9" s="57">
        <v>0.15</v>
      </c>
      <c r="B9" s="58" t="s">
        <v>82</v>
      </c>
      <c r="C9" s="19">
        <v>1530.2518518518518</v>
      </c>
      <c r="D9" s="19">
        <v>3.1235712783389507</v>
      </c>
      <c r="E9" s="19">
        <v>1.0201373034724996</v>
      </c>
      <c r="F9" s="19">
        <v>7.3806058242825746E-3</v>
      </c>
      <c r="G9" s="19">
        <f t="shared" si="1"/>
        <v>1020.1373034724996</v>
      </c>
      <c r="H9" s="19">
        <f t="shared" si="2"/>
        <v>7.3806058242825747</v>
      </c>
      <c r="I9" s="19">
        <f t="shared" si="3"/>
        <v>1.5610669977819471</v>
      </c>
      <c r="J9">
        <f t="shared" si="0"/>
        <v>1.1735085532274123E-2</v>
      </c>
    </row>
    <row r="10" spans="1:14" x14ac:dyDescent="0.2">
      <c r="A10" s="59"/>
      <c r="B10" s="56" t="s">
        <v>83</v>
      </c>
      <c r="C10">
        <v>1534.8925925925926</v>
      </c>
      <c r="D10">
        <v>3.0769653961951762</v>
      </c>
      <c r="E10">
        <v>1.0238722180364093</v>
      </c>
      <c r="F10">
        <v>3.4590799698412129E-3</v>
      </c>
      <c r="G10">
        <f t="shared" si="1"/>
        <v>1023.8722180364093</v>
      </c>
      <c r="H10">
        <f t="shared" si="2"/>
        <v>3.4590799698412127</v>
      </c>
      <c r="I10">
        <f t="shared" si="3"/>
        <v>1.5715338832254326</v>
      </c>
      <c r="J10">
        <f t="shared" si="0"/>
        <v>6.173652165147093E-3</v>
      </c>
    </row>
    <row r="11" spans="1:14" x14ac:dyDescent="0.2">
      <c r="A11" s="59"/>
      <c r="B11" s="56" t="s">
        <v>84</v>
      </c>
      <c r="C11">
        <v>1534</v>
      </c>
      <c r="D11">
        <v>2.8055005495157341</v>
      </c>
      <c r="E11">
        <v>1.0374268855268369</v>
      </c>
      <c r="F11">
        <v>8.3140112453908548E-3</v>
      </c>
      <c r="G11">
        <f t="shared" si="1"/>
        <v>1037.4268855268369</v>
      </c>
      <c r="H11">
        <f t="shared" si="2"/>
        <v>8.314011245390855</v>
      </c>
      <c r="I11">
        <f t="shared" si="3"/>
        <v>1.5914128423981677</v>
      </c>
      <c r="J11">
        <f t="shared" si="0"/>
        <v>1.3081579096454056E-2</v>
      </c>
    </row>
    <row r="12" spans="1:14" x14ac:dyDescent="0.2">
      <c r="A12" s="60"/>
      <c r="B12" s="61" t="s">
        <v>85</v>
      </c>
      <c r="C12" s="11">
        <v>1532.6481481481483</v>
      </c>
      <c r="D12" s="11">
        <v>4.0388086496690656</v>
      </c>
      <c r="E12" s="11">
        <v>1.0391276840000754</v>
      </c>
      <c r="F12" s="11">
        <v>7.9135577272818718E-3</v>
      </c>
      <c r="G12" s="11">
        <f t="shared" si="1"/>
        <v>1039.1276840000753</v>
      </c>
      <c r="H12" s="11">
        <f t="shared" si="2"/>
        <v>7.913557727281872</v>
      </c>
      <c r="I12" s="11">
        <f>C12*G12/1000000</f>
        <v>1.5926171205721895</v>
      </c>
      <c r="J12">
        <f t="shared" si="0"/>
        <v>1.2834282296485821E-2</v>
      </c>
    </row>
    <row r="13" spans="1:14" x14ac:dyDescent="0.2">
      <c r="A13" s="55">
        <v>0.2</v>
      </c>
      <c r="B13" s="56" t="s">
        <v>82</v>
      </c>
      <c r="C13">
        <v>1549.6740740740743</v>
      </c>
      <c r="D13">
        <v>2.4429477741369654</v>
      </c>
      <c r="E13">
        <v>1.0336570401168017</v>
      </c>
      <c r="F13">
        <v>1.6915998201246701E-2</v>
      </c>
      <c r="G13">
        <f t="shared" si="1"/>
        <v>1033.6570401168017</v>
      </c>
      <c r="H13">
        <f t="shared" si="2"/>
        <v>16.915998201246701</v>
      </c>
      <c r="I13">
        <f t="shared" si="3"/>
        <v>1.6018315165531529</v>
      </c>
      <c r="J13">
        <f t="shared" si="0"/>
        <v>2.633562534114527E-2</v>
      </c>
    </row>
    <row r="14" spans="1:14" x14ac:dyDescent="0.2">
      <c r="A14" s="56"/>
      <c r="B14" s="56" t="s">
        <v>83</v>
      </c>
      <c r="C14">
        <v>1549.3555555555556</v>
      </c>
      <c r="D14">
        <v>7.1249756334865779</v>
      </c>
      <c r="E14">
        <v>1.0395548522743163</v>
      </c>
      <c r="F14">
        <v>7.4101211370364243E-3</v>
      </c>
      <c r="G14">
        <f t="shared" si="1"/>
        <v>1039.5548522743163</v>
      </c>
      <c r="H14">
        <f t="shared" si="2"/>
        <v>7.4101211370364242</v>
      </c>
      <c r="I14">
        <f t="shared" si="3"/>
        <v>1.6106400856759469</v>
      </c>
      <c r="J14">
        <f t="shared" si="0"/>
        <v>1.3662799090072683E-2</v>
      </c>
    </row>
    <row r="15" spans="1:14" x14ac:dyDescent="0.2">
      <c r="A15" s="55"/>
      <c r="B15" s="56" t="s">
        <v>86</v>
      </c>
      <c r="C15">
        <v>1557.6703703703702</v>
      </c>
      <c r="D15">
        <v>7.8292621414161543</v>
      </c>
      <c r="E15">
        <v>1.0493293159991173</v>
      </c>
      <c r="F15">
        <v>5.9295070830081053E-3</v>
      </c>
      <c r="G15">
        <f t="shared" si="1"/>
        <v>1049.3293159991172</v>
      </c>
      <c r="H15">
        <f t="shared" si="2"/>
        <v>5.9295070830081054</v>
      </c>
      <c r="I15">
        <f t="shared" si="3"/>
        <v>1.6345091842928319</v>
      </c>
      <c r="J15">
        <f t="shared" si="0"/>
        <v>1.2361299744326376E-2</v>
      </c>
    </row>
    <row r="16" spans="1:14" x14ac:dyDescent="0.2">
      <c r="A16" s="56"/>
      <c r="B16" s="56" t="s">
        <v>85</v>
      </c>
      <c r="C16">
        <v>1561.174074074074</v>
      </c>
      <c r="D16">
        <v>6.7100003679786067</v>
      </c>
      <c r="E16">
        <v>1.0500895565151462</v>
      </c>
      <c r="F16">
        <v>1.0983846732586275E-2</v>
      </c>
      <c r="G16">
        <f t="shared" si="1"/>
        <v>1050.0895565151463</v>
      </c>
      <c r="H16">
        <f t="shared" si="2"/>
        <v>10.983846732586274</v>
      </c>
      <c r="I16">
        <f t="shared" si="3"/>
        <v>1.6393725910873886</v>
      </c>
      <c r="J16">
        <f t="shared" si="0"/>
        <v>1.8538906321460834E-2</v>
      </c>
    </row>
    <row r="23" spans="5:6" x14ac:dyDescent="0.2">
      <c r="E23" s="99"/>
      <c r="F23" s="99"/>
    </row>
  </sheetData>
  <mergeCells count="7">
    <mergeCell ref="A1:N1"/>
    <mergeCell ref="D3:D4"/>
    <mergeCell ref="F3:F4"/>
    <mergeCell ref="E23:F23"/>
    <mergeCell ref="H3:H4"/>
    <mergeCell ref="J3:J4"/>
    <mergeCell ref="K3:K4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zoomScale="120" zoomScaleNormal="120" workbookViewId="0">
      <selection activeCell="K40" sqref="K40"/>
    </sheetView>
  </sheetViews>
  <sheetFormatPr baseColWidth="10" defaultColWidth="11" defaultRowHeight="16" x14ac:dyDescent="0.2"/>
  <cols>
    <col min="3" max="3" width="12.6640625" customWidth="1"/>
    <col min="5" max="5" width="15" customWidth="1"/>
    <col min="7" max="7" width="13.5" customWidth="1"/>
    <col min="9" max="9" width="13.83203125" customWidth="1"/>
  </cols>
  <sheetData>
    <row r="1" spans="1:9" ht="22" customHeight="1" x14ac:dyDescent="0.25">
      <c r="A1" s="91" t="s">
        <v>55</v>
      </c>
      <c r="B1" s="91"/>
      <c r="C1" s="91"/>
      <c r="D1" s="91"/>
      <c r="E1" s="91"/>
      <c r="F1" s="91"/>
      <c r="G1" s="91"/>
      <c r="H1" s="91"/>
      <c r="I1" s="91"/>
    </row>
    <row r="3" spans="1:9" x14ac:dyDescent="0.2">
      <c r="A3" s="102" t="s">
        <v>45</v>
      </c>
      <c r="B3" s="102"/>
      <c r="C3" s="102"/>
      <c r="D3" s="102"/>
      <c r="E3" s="102"/>
      <c r="F3" s="102"/>
      <c r="G3" s="102"/>
      <c r="H3" s="102"/>
      <c r="I3" s="102"/>
    </row>
    <row r="4" spans="1:9" x14ac:dyDescent="0.2">
      <c r="A4" t="s">
        <v>44</v>
      </c>
      <c r="B4" s="85" t="s">
        <v>63</v>
      </c>
      <c r="C4" s="86" t="s">
        <v>62</v>
      </c>
      <c r="D4" s="87" t="s">
        <v>64</v>
      </c>
      <c r="E4" s="87" t="s">
        <v>65</v>
      </c>
      <c r="F4" s="85" t="s">
        <v>70</v>
      </c>
      <c r="G4" s="86" t="s">
        <v>71</v>
      </c>
      <c r="H4" s="87" t="s">
        <v>78</v>
      </c>
      <c r="I4" s="87" t="s">
        <v>79</v>
      </c>
    </row>
    <row r="5" spans="1:9" x14ac:dyDescent="0.2">
      <c r="A5">
        <v>1.25</v>
      </c>
      <c r="B5" s="21">
        <v>0.14493325000000001</v>
      </c>
      <c r="C5" s="9">
        <v>0.16616117421221879</v>
      </c>
      <c r="D5">
        <v>0.2440264</v>
      </c>
      <c r="E5">
        <v>0.18169243351003914</v>
      </c>
      <c r="F5" s="21">
        <v>0.2100725</v>
      </c>
      <c r="G5" s="9">
        <v>0.10924344232797992</v>
      </c>
      <c r="H5">
        <v>0.25678500000000004</v>
      </c>
      <c r="I5">
        <v>0.13450865659874828</v>
      </c>
    </row>
    <row r="6" spans="1:9" x14ac:dyDescent="0.2">
      <c r="A6">
        <v>1.5</v>
      </c>
      <c r="B6" s="21">
        <v>0.16409950000000001</v>
      </c>
      <c r="C6" s="9">
        <v>0.10565556003511278</v>
      </c>
      <c r="D6">
        <v>0.20736919999999998</v>
      </c>
      <c r="E6">
        <v>0.14422198346022014</v>
      </c>
      <c r="F6" s="21">
        <v>0.22672999999999999</v>
      </c>
      <c r="G6" s="9">
        <v>0.11357690639679653</v>
      </c>
      <c r="H6">
        <v>0.33867750000000002</v>
      </c>
      <c r="I6">
        <v>8.9334338815858852E-2</v>
      </c>
    </row>
    <row r="7" spans="1:9" x14ac:dyDescent="0.2">
      <c r="A7">
        <v>1.75</v>
      </c>
      <c r="B7" s="21">
        <v>0.32697750000000003</v>
      </c>
      <c r="C7" s="9">
        <v>0.10076401155670604</v>
      </c>
      <c r="D7">
        <v>0.21694199999999997</v>
      </c>
      <c r="E7">
        <v>0.1491151221104017</v>
      </c>
      <c r="F7" s="21">
        <v>0.27892749999999999</v>
      </c>
      <c r="G7" s="9">
        <v>0.14273733764622804</v>
      </c>
      <c r="H7">
        <v>0.4359825</v>
      </c>
      <c r="I7">
        <v>0.10746343327693687</v>
      </c>
    </row>
    <row r="8" spans="1:9" x14ac:dyDescent="0.2">
      <c r="A8">
        <v>2</v>
      </c>
      <c r="B8" s="21">
        <v>0.33619250000000001</v>
      </c>
      <c r="C8" s="9">
        <v>0.18928140943667271</v>
      </c>
      <c r="D8">
        <v>0.21168119999999999</v>
      </c>
      <c r="E8">
        <v>0.12218425621658464</v>
      </c>
      <c r="F8" s="21">
        <v>0.28785500000000003</v>
      </c>
      <c r="G8" s="9">
        <v>0.1791103104234929</v>
      </c>
      <c r="H8">
        <v>0.50857750000000002</v>
      </c>
      <c r="I8">
        <v>0.12338080952211876</v>
      </c>
    </row>
    <row r="9" spans="1:9" x14ac:dyDescent="0.2">
      <c r="A9" s="88">
        <v>2.25</v>
      </c>
      <c r="B9" s="89">
        <v>0.53364749999999994</v>
      </c>
      <c r="C9" s="90">
        <v>0.15405775916302752</v>
      </c>
      <c r="D9" s="88">
        <v>0.23483399999999999</v>
      </c>
      <c r="E9" s="88">
        <v>7.5913356071247551E-2</v>
      </c>
      <c r="F9" s="89">
        <v>0.32492500000000002</v>
      </c>
      <c r="G9" s="90">
        <v>0.23619564016580255</v>
      </c>
      <c r="H9" s="88">
        <v>0.56588749999999999</v>
      </c>
      <c r="I9" s="88">
        <v>0.14321740754880316</v>
      </c>
    </row>
    <row r="10" spans="1:9" x14ac:dyDescent="0.2">
      <c r="A10">
        <v>2.5</v>
      </c>
      <c r="B10" s="21">
        <v>0.65057999999999994</v>
      </c>
      <c r="C10" s="9">
        <v>0.14561332791563691</v>
      </c>
      <c r="D10">
        <v>0.26667599999999997</v>
      </c>
      <c r="E10">
        <v>4.7445980124769672E-2</v>
      </c>
      <c r="F10" s="21">
        <v>0.38508999999999999</v>
      </c>
      <c r="G10" s="9">
        <v>0.29742501307052172</v>
      </c>
      <c r="H10">
        <v>0.61881750000000002</v>
      </c>
      <c r="I10">
        <v>0.16673134785736415</v>
      </c>
    </row>
    <row r="11" spans="1:9" x14ac:dyDescent="0.2">
      <c r="A11">
        <v>2.75</v>
      </c>
      <c r="B11" s="21">
        <v>0.63455499999999998</v>
      </c>
      <c r="C11" s="9">
        <v>0.20233018138676187</v>
      </c>
      <c r="D11">
        <v>0.30968200000000001</v>
      </c>
      <c r="E11">
        <v>6.64234263644988E-2</v>
      </c>
      <c r="F11" s="21">
        <v>0.44094</v>
      </c>
      <c r="G11" s="9">
        <v>0.34637721489728507</v>
      </c>
      <c r="H11">
        <v>0.64647499999999991</v>
      </c>
      <c r="I11">
        <v>0.18808274163250652</v>
      </c>
    </row>
    <row r="12" spans="1:9" x14ac:dyDescent="0.2">
      <c r="A12">
        <v>3</v>
      </c>
      <c r="B12" s="21">
        <v>0.75133249999999996</v>
      </c>
      <c r="C12" s="9">
        <v>0.14544934453272768</v>
      </c>
      <c r="D12">
        <v>0.29403800000000002</v>
      </c>
      <c r="E12">
        <v>6.205048283454357E-2</v>
      </c>
      <c r="F12" s="21">
        <v>0.51087249999999995</v>
      </c>
      <c r="G12" s="9">
        <v>0.38563773409552826</v>
      </c>
      <c r="H12">
        <v>0.65260000000000007</v>
      </c>
      <c r="I12">
        <v>0.19958971366280356</v>
      </c>
    </row>
    <row r="13" spans="1:9" x14ac:dyDescent="0.2">
      <c r="A13">
        <v>3.25</v>
      </c>
      <c r="B13" s="21">
        <v>0.78429000000000004</v>
      </c>
      <c r="C13" s="9">
        <v>0.18822811709908435</v>
      </c>
      <c r="D13">
        <v>0.32725399999999999</v>
      </c>
      <c r="E13">
        <v>9.6869691493263327E-2</v>
      </c>
      <c r="F13" s="21">
        <v>0.61152749999999989</v>
      </c>
      <c r="G13" s="9">
        <v>0.39279756171807734</v>
      </c>
      <c r="H13">
        <v>0.67570750000000002</v>
      </c>
      <c r="I13">
        <v>0.22173698825034446</v>
      </c>
    </row>
    <row r="14" spans="1:9" x14ac:dyDescent="0.2">
      <c r="A14">
        <v>3.5</v>
      </c>
      <c r="B14" s="21">
        <v>0.72317500000000001</v>
      </c>
      <c r="C14" s="9">
        <v>0.19792865204411381</v>
      </c>
      <c r="D14">
        <v>0.36222399999999999</v>
      </c>
      <c r="E14">
        <v>0.13819629636860761</v>
      </c>
      <c r="F14" s="21">
        <v>0.72116749999999996</v>
      </c>
      <c r="G14" s="9">
        <v>0.4396803624130452</v>
      </c>
      <c r="H14">
        <v>0.67465249999999999</v>
      </c>
      <c r="I14">
        <v>0.23313714781575809</v>
      </c>
    </row>
    <row r="15" spans="1:9" x14ac:dyDescent="0.2">
      <c r="A15">
        <v>3.75</v>
      </c>
      <c r="B15" s="23">
        <v>0.68284250000000002</v>
      </c>
      <c r="C15" s="12">
        <v>0.31600797694309329</v>
      </c>
      <c r="D15">
        <v>0.389822</v>
      </c>
      <c r="E15">
        <v>0.15699420775939468</v>
      </c>
      <c r="F15" s="23">
        <v>0.83895249999999999</v>
      </c>
      <c r="G15" s="12">
        <v>0.53037594323115145</v>
      </c>
      <c r="H15">
        <v>0.65825</v>
      </c>
      <c r="I15">
        <v>0.2714350862852235</v>
      </c>
    </row>
    <row r="17" spans="1:9" x14ac:dyDescent="0.2">
      <c r="A17" s="103" t="s">
        <v>46</v>
      </c>
      <c r="B17" s="103"/>
      <c r="C17" s="103"/>
      <c r="D17" s="103"/>
      <c r="E17" s="103"/>
      <c r="F17" s="103"/>
      <c r="G17" s="103"/>
      <c r="H17" s="103"/>
      <c r="I17" s="103"/>
    </row>
    <row r="18" spans="1:9" x14ac:dyDescent="0.2">
      <c r="A18" s="4" t="s">
        <v>44</v>
      </c>
      <c r="B18" s="85" t="s">
        <v>60</v>
      </c>
      <c r="C18" s="86" t="s">
        <v>61</v>
      </c>
      <c r="D18" s="87" t="s">
        <v>66</v>
      </c>
      <c r="E18" s="87" t="s">
        <v>67</v>
      </c>
      <c r="F18" s="85" t="s">
        <v>72</v>
      </c>
      <c r="G18" s="86" t="s">
        <v>73</v>
      </c>
      <c r="H18" s="87" t="s">
        <v>76</v>
      </c>
      <c r="I18" s="87" t="s">
        <v>77</v>
      </c>
    </row>
    <row r="19" spans="1:9" x14ac:dyDescent="0.2">
      <c r="A19">
        <v>1.25</v>
      </c>
      <c r="B19" s="21">
        <v>0.40367500000000001</v>
      </c>
      <c r="C19" s="9">
        <v>5.447184379720129E-2</v>
      </c>
      <c r="D19">
        <v>0.34582000000000002</v>
      </c>
      <c r="E19">
        <v>7.1223107673469774E-2</v>
      </c>
      <c r="F19" s="21">
        <v>0.46770499999999993</v>
      </c>
      <c r="G19" s="9">
        <v>0.17841262658511595</v>
      </c>
      <c r="H19">
        <v>0.352524</v>
      </c>
      <c r="I19">
        <v>0.10574284670841798</v>
      </c>
    </row>
    <row r="20" spans="1:9" x14ac:dyDescent="0.2">
      <c r="A20">
        <v>1.5</v>
      </c>
      <c r="B20" s="21">
        <v>0.52004500000000009</v>
      </c>
      <c r="C20" s="9">
        <v>0.12266983940643209</v>
      </c>
      <c r="D20">
        <v>0.34987000000000001</v>
      </c>
      <c r="E20">
        <v>5.0474580401095703E-2</v>
      </c>
      <c r="F20" s="21">
        <v>0.52627100000000004</v>
      </c>
      <c r="G20" s="9">
        <v>0.2364317878479964</v>
      </c>
      <c r="H20">
        <v>0.42697199999999996</v>
      </c>
      <c r="I20">
        <v>0.1163471807565617</v>
      </c>
    </row>
    <row r="21" spans="1:9" x14ac:dyDescent="0.2">
      <c r="A21">
        <v>1.75</v>
      </c>
      <c r="B21" s="21">
        <v>0.56288500000000008</v>
      </c>
      <c r="C21" s="9">
        <v>0.16879530532571069</v>
      </c>
      <c r="D21">
        <v>0.40733249999999999</v>
      </c>
      <c r="E21">
        <v>3.2286397935766487E-2</v>
      </c>
      <c r="F21" s="21">
        <v>0.61490199999999995</v>
      </c>
      <c r="G21" s="9">
        <v>0.29411353865471757</v>
      </c>
      <c r="H21">
        <v>0.52258199999999999</v>
      </c>
      <c r="I21">
        <v>0.15836113118439138</v>
      </c>
    </row>
    <row r="22" spans="1:9" x14ac:dyDescent="0.2">
      <c r="A22">
        <v>2</v>
      </c>
      <c r="B22" s="21">
        <v>0.53988250000000004</v>
      </c>
      <c r="C22" s="9">
        <v>0.18787007857825561</v>
      </c>
      <c r="D22">
        <v>0.44907249999999999</v>
      </c>
      <c r="E22">
        <v>7.0864244098605297E-2</v>
      </c>
      <c r="F22" s="21">
        <v>0.73330200000000001</v>
      </c>
      <c r="G22" s="9">
        <v>0.35820500606496264</v>
      </c>
      <c r="H22">
        <v>0.63924199999999998</v>
      </c>
      <c r="I22">
        <v>0.20475769038060582</v>
      </c>
    </row>
    <row r="23" spans="1:9" x14ac:dyDescent="0.2">
      <c r="A23" s="88">
        <v>2.25</v>
      </c>
      <c r="B23" s="89">
        <v>0.48885750000000006</v>
      </c>
      <c r="C23" s="90">
        <v>0.17471008430635371</v>
      </c>
      <c r="D23" s="88">
        <v>0.50512749999999995</v>
      </c>
      <c r="E23" s="88">
        <v>0.15553422503852132</v>
      </c>
      <c r="F23" s="89">
        <v>0.90610799999999991</v>
      </c>
      <c r="G23" s="90">
        <v>0.42650056057407509</v>
      </c>
      <c r="H23" s="88">
        <v>0.79078400000000004</v>
      </c>
      <c r="I23" s="88">
        <v>0.24809024704731919</v>
      </c>
    </row>
    <row r="24" spans="1:9" x14ac:dyDescent="0.2">
      <c r="A24">
        <v>2.5</v>
      </c>
      <c r="B24" s="21">
        <v>0.51911750000000001</v>
      </c>
      <c r="C24" s="9">
        <v>0.11906297083896419</v>
      </c>
      <c r="D24">
        <v>0.57809250000000001</v>
      </c>
      <c r="E24">
        <v>0.24258495644138084</v>
      </c>
      <c r="F24" s="21">
        <v>1.1011120000000001</v>
      </c>
      <c r="G24" s="9">
        <v>0.4748023758049239</v>
      </c>
      <c r="H24">
        <v>0.90332000000000012</v>
      </c>
      <c r="I24">
        <v>0.27816013796013256</v>
      </c>
    </row>
    <row r="25" spans="1:9" x14ac:dyDescent="0.2">
      <c r="A25">
        <v>2.75</v>
      </c>
      <c r="B25" s="21">
        <v>0.61077749999999997</v>
      </c>
      <c r="C25" s="9">
        <v>7.374763199588226E-2</v>
      </c>
      <c r="D25">
        <v>0.63708500000000001</v>
      </c>
      <c r="E25">
        <v>0.33000545556096506</v>
      </c>
      <c r="F25" s="21">
        <v>1.2665299999999999</v>
      </c>
      <c r="G25" s="9">
        <v>0.47476439862314868</v>
      </c>
      <c r="H25">
        <v>0.98597599999999996</v>
      </c>
      <c r="I25">
        <v>0.2926809797031576</v>
      </c>
    </row>
    <row r="26" spans="1:9" x14ac:dyDescent="0.2">
      <c r="A26">
        <v>3</v>
      </c>
      <c r="B26" s="21">
        <v>0.73558750000000006</v>
      </c>
      <c r="C26" s="9">
        <v>0.1256177578675341</v>
      </c>
      <c r="D26">
        <v>0.70401500000000006</v>
      </c>
      <c r="E26">
        <v>0.40048637467459475</v>
      </c>
      <c r="F26" s="21">
        <v>1.3872199999999999</v>
      </c>
      <c r="G26" s="9">
        <v>0.42817611242338155</v>
      </c>
      <c r="H26">
        <v>1.03834</v>
      </c>
      <c r="I26">
        <v>0.29913441201239299</v>
      </c>
    </row>
    <row r="27" spans="1:9" x14ac:dyDescent="0.2">
      <c r="A27">
        <v>3.25</v>
      </c>
      <c r="B27" s="21">
        <v>0.8539699999999999</v>
      </c>
      <c r="C27" s="9">
        <v>0.21367668489254249</v>
      </c>
      <c r="D27">
        <v>0.79782750000000002</v>
      </c>
      <c r="E27">
        <v>0.46568212973908846</v>
      </c>
      <c r="F27" s="21">
        <v>1.4784600000000001</v>
      </c>
      <c r="G27" s="9">
        <v>0.37237244023960708</v>
      </c>
      <c r="H27">
        <v>1.1111599999999999</v>
      </c>
      <c r="I27">
        <v>0.28702741924770941</v>
      </c>
    </row>
    <row r="28" spans="1:9" x14ac:dyDescent="0.2">
      <c r="A28">
        <v>3.5</v>
      </c>
      <c r="B28" s="21">
        <v>0.90072249999999987</v>
      </c>
      <c r="C28" s="9">
        <v>0.34671402330787471</v>
      </c>
      <c r="D28">
        <v>0.89334250000000004</v>
      </c>
      <c r="E28">
        <v>0.56725441431365997</v>
      </c>
      <c r="F28" s="21">
        <v>1.5668200000000001</v>
      </c>
      <c r="G28" s="9">
        <v>0.30985065273450618</v>
      </c>
      <c r="H28">
        <v>1.1870799999999999</v>
      </c>
      <c r="I28">
        <v>0.23184431629867522</v>
      </c>
    </row>
    <row r="29" spans="1:9" x14ac:dyDescent="0.2">
      <c r="A29">
        <v>3.75</v>
      </c>
      <c r="B29" s="23">
        <v>0.87389749999999999</v>
      </c>
      <c r="C29" s="12">
        <v>0.42787708284623044</v>
      </c>
      <c r="D29">
        <v>0.98471249999999999</v>
      </c>
      <c r="E29">
        <v>0.71116091265737236</v>
      </c>
      <c r="F29" s="23">
        <v>1.7440500000000001</v>
      </c>
      <c r="G29" s="12">
        <v>0.27138757801343844</v>
      </c>
      <c r="H29">
        <v>1.26756</v>
      </c>
      <c r="I29">
        <v>0.1872441000405608</v>
      </c>
    </row>
    <row r="31" spans="1:9" x14ac:dyDescent="0.2">
      <c r="A31" s="103" t="s">
        <v>47</v>
      </c>
      <c r="B31" s="103"/>
      <c r="C31" s="103"/>
      <c r="D31" s="103"/>
      <c r="E31" s="103"/>
      <c r="F31" s="103"/>
      <c r="G31" s="103"/>
      <c r="H31" s="103"/>
      <c r="I31" s="103"/>
    </row>
    <row r="32" spans="1:9" x14ac:dyDescent="0.2">
      <c r="A32" s="4" t="s">
        <v>44</v>
      </c>
      <c r="B32" s="85" t="s">
        <v>59</v>
      </c>
      <c r="C32" s="86" t="s">
        <v>58</v>
      </c>
      <c r="D32" s="87" t="s">
        <v>57</v>
      </c>
      <c r="E32" s="87" t="s">
        <v>56</v>
      </c>
      <c r="F32" s="85" t="s">
        <v>68</v>
      </c>
      <c r="G32" s="86" t="s">
        <v>69</v>
      </c>
      <c r="H32" s="87" t="s">
        <v>74</v>
      </c>
      <c r="I32" s="87" t="s">
        <v>75</v>
      </c>
    </row>
    <row r="33" spans="1:9" x14ac:dyDescent="0.2">
      <c r="A33">
        <v>1.25</v>
      </c>
      <c r="B33" s="21">
        <v>0.28826999999999997</v>
      </c>
      <c r="C33" s="9">
        <v>9.1425273311049146E-2</v>
      </c>
      <c r="D33">
        <v>0.52110000000000001</v>
      </c>
      <c r="E33">
        <v>0.25669860235303193</v>
      </c>
      <c r="F33" s="21">
        <v>0.74909000000000003</v>
      </c>
      <c r="G33" s="9">
        <v>0.20000999291702051</v>
      </c>
      <c r="H33">
        <v>0.79826750000000002</v>
      </c>
      <c r="I33">
        <v>0.56250887432258934</v>
      </c>
    </row>
    <row r="34" spans="1:9" x14ac:dyDescent="0.2">
      <c r="A34">
        <v>1.5</v>
      </c>
      <c r="B34" s="21">
        <v>0.37161749999999999</v>
      </c>
      <c r="C34" s="9">
        <v>9.4384227981515342E-2</v>
      </c>
      <c r="D34">
        <v>0.65755800000000009</v>
      </c>
      <c r="E34">
        <v>0.22107478388545346</v>
      </c>
      <c r="F34" s="21">
        <v>0.8553925</v>
      </c>
      <c r="G34" s="9">
        <v>0.23816875688959099</v>
      </c>
      <c r="H34">
        <v>0.763185</v>
      </c>
      <c r="I34">
        <v>0.36954714200852185</v>
      </c>
    </row>
    <row r="35" spans="1:9" x14ac:dyDescent="0.2">
      <c r="A35">
        <v>1.75</v>
      </c>
      <c r="B35" s="21">
        <v>0.42065750000000002</v>
      </c>
      <c r="C35" s="9">
        <v>0.19058810235251666</v>
      </c>
      <c r="D35">
        <v>0.75042799999999998</v>
      </c>
      <c r="E35">
        <v>0.12340002439221835</v>
      </c>
      <c r="F35" s="21">
        <v>0.94473999999999991</v>
      </c>
      <c r="G35" s="9">
        <v>0.33806660053900639</v>
      </c>
      <c r="H35">
        <v>0.85410249999999999</v>
      </c>
      <c r="I35">
        <v>0.29841467372042335</v>
      </c>
    </row>
    <row r="36" spans="1:9" x14ac:dyDescent="0.2">
      <c r="A36">
        <v>2</v>
      </c>
      <c r="B36" s="21">
        <v>0.46949749999999996</v>
      </c>
      <c r="C36" s="9">
        <v>0.27233426242701581</v>
      </c>
      <c r="D36">
        <v>0.79770799999999997</v>
      </c>
      <c r="E36">
        <v>0.14082964094962427</v>
      </c>
      <c r="F36" s="21">
        <v>0.9726999999999999</v>
      </c>
      <c r="G36" s="9">
        <v>0.44178243959366881</v>
      </c>
      <c r="H36">
        <v>0.93835499999999994</v>
      </c>
      <c r="I36">
        <v>0.24939472668843685</v>
      </c>
    </row>
    <row r="37" spans="1:9" x14ac:dyDescent="0.2">
      <c r="A37" s="88">
        <v>2.25</v>
      </c>
      <c r="B37" s="89">
        <v>0.52265085</v>
      </c>
      <c r="C37" s="90">
        <v>0.48681644308735444</v>
      </c>
      <c r="D37" s="88">
        <v>0.93931599999999982</v>
      </c>
      <c r="E37" s="88">
        <v>0.20739078735565952</v>
      </c>
      <c r="F37" s="89">
        <v>1.0721875000000001</v>
      </c>
      <c r="G37" s="90">
        <v>0.55201039998506063</v>
      </c>
      <c r="H37" s="88">
        <v>1.04826</v>
      </c>
      <c r="I37" s="88">
        <v>0.23369484989333159</v>
      </c>
    </row>
    <row r="38" spans="1:9" x14ac:dyDescent="0.2">
      <c r="A38">
        <v>2.5</v>
      </c>
      <c r="B38" s="21">
        <v>0.59229750000000003</v>
      </c>
      <c r="C38" s="9">
        <v>0.71647646680938981</v>
      </c>
      <c r="D38">
        <v>1.1041639999999999</v>
      </c>
      <c r="E38">
        <v>0.21100387408765817</v>
      </c>
      <c r="F38" s="21">
        <v>1.1679374999999999</v>
      </c>
      <c r="G38" s="9">
        <v>0.60122635284752268</v>
      </c>
      <c r="H38">
        <v>1.149715</v>
      </c>
      <c r="I38">
        <v>0.38647585388136874</v>
      </c>
    </row>
    <row r="39" spans="1:9" x14ac:dyDescent="0.2">
      <c r="A39">
        <v>2.75</v>
      </c>
      <c r="B39" s="21">
        <v>0.73310000000000008</v>
      </c>
      <c r="C39" s="9">
        <v>0.80216818348772712</v>
      </c>
      <c r="D39">
        <v>1.2626199999999999</v>
      </c>
      <c r="E39">
        <v>0.19015106363099846</v>
      </c>
      <c r="F39" s="21">
        <v>1.2664975000000001</v>
      </c>
      <c r="G39" s="9">
        <v>0.58711579927500979</v>
      </c>
      <c r="H39">
        <v>1.2925549999999999</v>
      </c>
      <c r="I39">
        <v>0.54491104849017968</v>
      </c>
    </row>
    <row r="40" spans="1:9" x14ac:dyDescent="0.2">
      <c r="A40">
        <v>3</v>
      </c>
      <c r="B40" s="21">
        <v>0.93642899999999996</v>
      </c>
      <c r="C40" s="9">
        <v>0.78074442603880745</v>
      </c>
      <c r="D40">
        <v>1.3963399999999999</v>
      </c>
      <c r="E40">
        <v>0.17505317192213363</v>
      </c>
      <c r="F40" s="21">
        <v>1.394325</v>
      </c>
      <c r="G40" s="9">
        <v>0.49086915007973275</v>
      </c>
      <c r="H40">
        <v>1.3808175</v>
      </c>
      <c r="I40">
        <v>0.65398746360945903</v>
      </c>
    </row>
    <row r="41" spans="1:9" x14ac:dyDescent="0.2">
      <c r="A41">
        <v>3.25</v>
      </c>
      <c r="B41" s="21">
        <v>1.1106224999999998</v>
      </c>
      <c r="C41" s="9">
        <v>0.79929744219011911</v>
      </c>
      <c r="D41">
        <v>1.5802</v>
      </c>
      <c r="E41">
        <v>0.16529388978422643</v>
      </c>
      <c r="F41" s="21">
        <v>1.620225</v>
      </c>
      <c r="G41" s="9">
        <v>0.36821576441899728</v>
      </c>
      <c r="H41">
        <v>1.5500225000000001</v>
      </c>
      <c r="I41">
        <v>0.67200068106984312</v>
      </c>
    </row>
    <row r="42" spans="1:9" x14ac:dyDescent="0.2">
      <c r="A42">
        <v>3.5</v>
      </c>
      <c r="B42" s="21">
        <v>1.24291</v>
      </c>
      <c r="C42" s="9">
        <v>0.96459695852723881</v>
      </c>
      <c r="D42">
        <v>1.8271599999999999</v>
      </c>
      <c r="E42">
        <v>0.13303835161336</v>
      </c>
      <c r="F42" s="21">
        <v>1.9508000000000001</v>
      </c>
      <c r="G42" s="9">
        <v>0.31257130386521315</v>
      </c>
      <c r="H42">
        <v>1.7150750000000001</v>
      </c>
      <c r="I42">
        <v>0.70656592697827292</v>
      </c>
    </row>
    <row r="43" spans="1:9" x14ac:dyDescent="0.2">
      <c r="A43">
        <v>3.75</v>
      </c>
      <c r="B43" s="23">
        <v>1.4123475000000001</v>
      </c>
      <c r="C43" s="12">
        <v>1.2595293506008505</v>
      </c>
      <c r="D43">
        <v>2.1887400000000001</v>
      </c>
      <c r="E43">
        <v>0.12446422377534846</v>
      </c>
      <c r="F43" s="23">
        <v>2.395375</v>
      </c>
      <c r="G43" s="12">
        <v>0.27491322721906281</v>
      </c>
      <c r="H43">
        <v>1.8921000000000001</v>
      </c>
      <c r="I43">
        <v>0.75245746280659132</v>
      </c>
    </row>
  </sheetData>
  <mergeCells count="4">
    <mergeCell ref="A3:I3"/>
    <mergeCell ref="A1:I1"/>
    <mergeCell ref="A17:I17"/>
    <mergeCell ref="A31:I3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zoomScale="110" zoomScaleNormal="110" workbookViewId="0">
      <selection activeCell="D25" sqref="D25"/>
    </sheetView>
  </sheetViews>
  <sheetFormatPr baseColWidth="10" defaultColWidth="11" defaultRowHeight="16" x14ac:dyDescent="0.2"/>
  <sheetData>
    <row r="1" spans="1:14" ht="21" x14ac:dyDescent="0.25">
      <c r="A1" s="91" t="s">
        <v>37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3" spans="1:14" ht="34" x14ac:dyDescent="0.2">
      <c r="C3" s="48" t="s">
        <v>24</v>
      </c>
      <c r="D3" s="98" t="s">
        <v>18</v>
      </c>
      <c r="E3" s="50" t="s">
        <v>28</v>
      </c>
      <c r="F3" s="98" t="s">
        <v>18</v>
      </c>
      <c r="G3" s="50" t="s">
        <v>28</v>
      </c>
      <c r="H3" s="98" t="s">
        <v>18</v>
      </c>
      <c r="I3" s="43" t="s">
        <v>35</v>
      </c>
      <c r="J3" s="100" t="s">
        <v>54</v>
      </c>
      <c r="K3" s="101"/>
    </row>
    <row r="4" spans="1:14" x14ac:dyDescent="0.2">
      <c r="C4" s="49" t="s">
        <v>27</v>
      </c>
      <c r="D4" s="98"/>
      <c r="E4" s="51" t="s">
        <v>21</v>
      </c>
      <c r="F4" s="98"/>
      <c r="G4" s="51" t="s">
        <v>29</v>
      </c>
      <c r="H4" s="98"/>
      <c r="I4" s="42" t="s">
        <v>36</v>
      </c>
      <c r="J4" s="100"/>
      <c r="K4" s="101"/>
    </row>
    <row r="5" spans="1:14" x14ac:dyDescent="0.2">
      <c r="A5" s="55">
        <v>0.1</v>
      </c>
      <c r="B5" s="56" t="s">
        <v>82</v>
      </c>
      <c r="C5">
        <v>1511.787037037037</v>
      </c>
      <c r="D5">
        <v>5.8955714180797827</v>
      </c>
      <c r="E5">
        <v>1.0189462879259601</v>
      </c>
      <c r="F5">
        <v>2.9865397709473648E-3</v>
      </c>
      <c r="G5">
        <f>E5*1000</f>
        <v>1018.9462879259601</v>
      </c>
      <c r="H5">
        <f>F5*1000</f>
        <v>2.9865397709473647</v>
      </c>
      <c r="I5">
        <f>(C5*C5*G5)/1000000000</f>
        <v>2.3288017872672806</v>
      </c>
      <c r="J5">
        <f>((((C5^4)*(H5^2))+(((2*G5*C5)^2)*(D5^2)))^0.5)/1000000000</f>
        <v>1.9403628207287783E-2</v>
      </c>
    </row>
    <row r="6" spans="1:14" x14ac:dyDescent="0.2">
      <c r="A6" s="56"/>
      <c r="B6" s="56" t="s">
        <v>83</v>
      </c>
      <c r="C6">
        <v>1519.1962962962964</v>
      </c>
      <c r="D6">
        <v>6.4392340047478811</v>
      </c>
      <c r="E6">
        <v>1.0206761073105692</v>
      </c>
      <c r="F6">
        <v>6.7963719202706564E-3</v>
      </c>
      <c r="G6">
        <f t="shared" ref="G6:H16" si="0">E6*1000</f>
        <v>1020.6761073105693</v>
      </c>
      <c r="H6">
        <f t="shared" si="0"/>
        <v>6.7963719202706567</v>
      </c>
      <c r="I6">
        <f t="shared" ref="I6:I15" si="1">(C6*C6*G6)/1000000000</f>
        <v>2.3556769612756083</v>
      </c>
      <c r="J6">
        <f>((((C6^4)*(H6^2))+(((2*G6*C6)^2)*(D6^2)))^0.5)/1000000000</f>
        <v>2.5393329122372098E-2</v>
      </c>
    </row>
    <row r="7" spans="1:14" x14ac:dyDescent="0.2">
      <c r="A7" s="56"/>
      <c r="B7" s="56" t="s">
        <v>84</v>
      </c>
      <c r="C7">
        <v>1516.4888888888888</v>
      </c>
      <c r="D7">
        <v>3.3410743448445124</v>
      </c>
      <c r="E7">
        <v>1.0212736649284273</v>
      </c>
      <c r="F7">
        <v>2.2370073379881128E-3</v>
      </c>
      <c r="G7">
        <f t="shared" si="0"/>
        <v>1021.2736649284273</v>
      </c>
      <c r="H7">
        <f t="shared" si="0"/>
        <v>2.2370073379881128</v>
      </c>
      <c r="I7">
        <f t="shared" si="1"/>
        <v>2.3486624174617701</v>
      </c>
      <c r="J7">
        <f t="shared" ref="J7:J16" si="2">((((C7^4)*(H7^2))+(((2*G7*C7)^2)*(D7^2)))^0.5)/1000000000</f>
        <v>1.1557143836285366E-2</v>
      </c>
    </row>
    <row r="8" spans="1:14" x14ac:dyDescent="0.2">
      <c r="A8" s="56"/>
      <c r="B8" s="56" t="s">
        <v>85</v>
      </c>
      <c r="C8">
        <v>1519.6185185185184</v>
      </c>
      <c r="D8">
        <v>6.5178624459402483</v>
      </c>
      <c r="E8">
        <v>1.027502203089333</v>
      </c>
      <c r="F8">
        <v>1.9093627688817666E-3</v>
      </c>
      <c r="G8">
        <f t="shared" si="0"/>
        <v>1027.5022030893331</v>
      </c>
      <c r="H8">
        <f t="shared" si="0"/>
        <v>1.9093627688817665</v>
      </c>
      <c r="I8">
        <f t="shared" si="1"/>
        <v>2.3727496414375731</v>
      </c>
      <c r="J8">
        <f t="shared" si="2"/>
        <v>2.082621955802413E-2</v>
      </c>
    </row>
    <row r="9" spans="1:14" x14ac:dyDescent="0.2">
      <c r="A9" s="57">
        <v>0.15</v>
      </c>
      <c r="B9" s="58" t="s">
        <v>82</v>
      </c>
      <c r="C9" s="19">
        <v>1530.2518518518518</v>
      </c>
      <c r="D9" s="19">
        <v>3.1235712783389507</v>
      </c>
      <c r="E9" s="19">
        <v>1.0201373034724996</v>
      </c>
      <c r="F9" s="19">
        <v>7.3806058242825746E-3</v>
      </c>
      <c r="G9" s="19">
        <f t="shared" si="0"/>
        <v>1020.1373034724996</v>
      </c>
      <c r="H9" s="19">
        <f t="shared" si="0"/>
        <v>7.3806058242825747</v>
      </c>
      <c r="I9">
        <f t="shared" si="1"/>
        <v>2.3888256642206351</v>
      </c>
      <c r="J9">
        <f t="shared" si="2"/>
        <v>1.9844542717513281E-2</v>
      </c>
    </row>
    <row r="10" spans="1:14" x14ac:dyDescent="0.2">
      <c r="A10" s="59"/>
      <c r="B10" s="56" t="s">
        <v>83</v>
      </c>
      <c r="C10">
        <v>1534.8925925925926</v>
      </c>
      <c r="D10">
        <v>3.0769653961951762</v>
      </c>
      <c r="E10">
        <v>1.0238722180364093</v>
      </c>
      <c r="F10">
        <v>3.4590799698412129E-3</v>
      </c>
      <c r="G10">
        <f t="shared" si="0"/>
        <v>1023.8722180364093</v>
      </c>
      <c r="H10">
        <f t="shared" si="0"/>
        <v>3.4590799698412127</v>
      </c>
      <c r="I10">
        <f t="shared" si="1"/>
        <v>2.4121357163709889</v>
      </c>
      <c r="J10">
        <f t="shared" si="2"/>
        <v>1.2646751960563547E-2</v>
      </c>
    </row>
    <row r="11" spans="1:14" x14ac:dyDescent="0.2">
      <c r="A11" s="59"/>
      <c r="B11" s="56" t="s">
        <v>84</v>
      </c>
      <c r="C11">
        <v>1534</v>
      </c>
      <c r="D11">
        <v>2.8055005495157341</v>
      </c>
      <c r="E11">
        <v>1.0374268855268369</v>
      </c>
      <c r="F11">
        <v>8.3140112453908548E-3</v>
      </c>
      <c r="G11">
        <f t="shared" si="0"/>
        <v>1037.4268855268369</v>
      </c>
      <c r="H11">
        <f t="shared" si="0"/>
        <v>8.314011245390855</v>
      </c>
      <c r="I11">
        <f t="shared" si="1"/>
        <v>2.4412273002387894</v>
      </c>
      <c r="J11">
        <f t="shared" si="2"/>
        <v>2.1505606175871474E-2</v>
      </c>
    </row>
    <row r="12" spans="1:14" x14ac:dyDescent="0.2">
      <c r="A12" s="60"/>
      <c r="B12" s="61" t="s">
        <v>85</v>
      </c>
      <c r="C12" s="11">
        <v>1532.6481481481483</v>
      </c>
      <c r="D12" s="11">
        <v>4.0388086496690656</v>
      </c>
      <c r="E12" s="11">
        <v>1.0391276840000754</v>
      </c>
      <c r="F12" s="11">
        <v>7.9135577272818718E-3</v>
      </c>
      <c r="G12" s="11">
        <f t="shared" si="0"/>
        <v>1039.1276840000753</v>
      </c>
      <c r="H12" s="11">
        <f t="shared" si="0"/>
        <v>7.913557727281872</v>
      </c>
      <c r="I12">
        <f>(C12*C12*G12)/1000000000</f>
        <v>2.4409216805540028</v>
      </c>
      <c r="J12">
        <f t="shared" si="2"/>
        <v>2.2606385961116596E-2</v>
      </c>
    </row>
    <row r="13" spans="1:14" x14ac:dyDescent="0.2">
      <c r="A13" s="55">
        <v>0.2</v>
      </c>
      <c r="B13" s="56" t="s">
        <v>82</v>
      </c>
      <c r="C13">
        <v>1549.6740740740743</v>
      </c>
      <c r="D13">
        <v>2.4429477741369654</v>
      </c>
      <c r="E13">
        <v>1.0336570401168017</v>
      </c>
      <c r="F13">
        <v>1.6915998201246701E-2</v>
      </c>
      <c r="G13">
        <f t="shared" si="0"/>
        <v>1033.6570401168017</v>
      </c>
      <c r="H13">
        <f t="shared" si="0"/>
        <v>16.915998201246701</v>
      </c>
      <c r="I13">
        <f t="shared" si="1"/>
        <v>2.4823167722371773</v>
      </c>
      <c r="J13">
        <f t="shared" si="2"/>
        <v>4.1370627300140246E-2</v>
      </c>
    </row>
    <row r="14" spans="1:14" x14ac:dyDescent="0.2">
      <c r="A14" s="56"/>
      <c r="B14" s="56" t="s">
        <v>83</v>
      </c>
      <c r="C14">
        <v>1549.3555555555556</v>
      </c>
      <c r="D14">
        <v>7.1249756334865779</v>
      </c>
      <c r="E14">
        <v>1.0395548522743163</v>
      </c>
      <c r="F14">
        <v>7.4101211370364243E-3</v>
      </c>
      <c r="G14">
        <f t="shared" si="0"/>
        <v>1039.5548522743163</v>
      </c>
      <c r="H14">
        <f t="shared" si="0"/>
        <v>7.4101211370364242</v>
      </c>
      <c r="I14">
        <f>(C14*C14*G14)/1000000000</f>
        <v>2.4954541647425041</v>
      </c>
      <c r="J14">
        <f t="shared" si="2"/>
        <v>2.9037679025416357E-2</v>
      </c>
    </row>
    <row r="15" spans="1:14" x14ac:dyDescent="0.2">
      <c r="A15" s="55"/>
      <c r="B15" s="56" t="s">
        <v>86</v>
      </c>
      <c r="C15">
        <v>1557.6703703703702</v>
      </c>
      <c r="D15">
        <v>7.8292621414161543</v>
      </c>
      <c r="E15">
        <v>1.0493293159991173</v>
      </c>
      <c r="F15">
        <v>5.9295070830081053E-3</v>
      </c>
      <c r="G15">
        <f t="shared" si="0"/>
        <v>1049.3293159991172</v>
      </c>
      <c r="H15">
        <f t="shared" si="0"/>
        <v>5.9295070830081054</v>
      </c>
      <c r="I15">
        <f t="shared" si="1"/>
        <v>2.546026526471187</v>
      </c>
      <c r="J15">
        <f t="shared" si="2"/>
        <v>2.936048681708503E-2</v>
      </c>
    </row>
    <row r="16" spans="1:14" x14ac:dyDescent="0.2">
      <c r="A16" s="56"/>
      <c r="B16" s="56" t="s">
        <v>85</v>
      </c>
      <c r="C16">
        <v>1561.174074074074</v>
      </c>
      <c r="D16">
        <v>6.7100003679786067</v>
      </c>
      <c r="E16">
        <v>1.0500895565151462</v>
      </c>
      <c r="F16">
        <v>1.0983846732586275E-2</v>
      </c>
      <c r="G16">
        <f t="shared" si="0"/>
        <v>1050.0895565151463</v>
      </c>
      <c r="H16">
        <f t="shared" si="0"/>
        <v>10.983846732586274</v>
      </c>
      <c r="I16">
        <f>(C16*C16*G16)/1000000000</f>
        <v>2.5593459869532693</v>
      </c>
      <c r="J16">
        <f t="shared" si="2"/>
        <v>3.4650809100197612E-2</v>
      </c>
    </row>
  </sheetData>
  <mergeCells count="6">
    <mergeCell ref="A1:N1"/>
    <mergeCell ref="D3:D4"/>
    <mergeCell ref="F3:F4"/>
    <mergeCell ref="H3:H4"/>
    <mergeCell ref="J3:J4"/>
    <mergeCell ref="K3:K4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8"/>
  <sheetViews>
    <sheetView zoomScaleNormal="100" workbookViewId="0">
      <selection activeCell="C69" sqref="C69"/>
    </sheetView>
  </sheetViews>
  <sheetFormatPr baseColWidth="10" defaultColWidth="11" defaultRowHeight="16" x14ac:dyDescent="0.2"/>
  <cols>
    <col min="2" max="2" width="15.6640625" customWidth="1"/>
    <col min="3" max="3" width="14.33203125" customWidth="1"/>
    <col min="4" max="4" width="21.33203125" customWidth="1"/>
    <col min="5" max="5" width="12.6640625" customWidth="1"/>
    <col min="6" max="6" width="20.5" customWidth="1"/>
    <col min="7" max="7" width="14.5" customWidth="1"/>
    <col min="8" max="8" width="22.5" customWidth="1"/>
    <col min="9" max="9" width="15.83203125" customWidth="1"/>
    <col min="10" max="10" width="14" customWidth="1"/>
    <col min="11" max="11" width="18.1640625" customWidth="1"/>
    <col min="12" max="12" width="11.6640625" customWidth="1"/>
    <col min="15" max="15" width="18.1640625" customWidth="1"/>
    <col min="16" max="16" width="5.1640625" customWidth="1"/>
    <col min="19" max="19" width="17.6640625" customWidth="1"/>
  </cols>
  <sheetData>
    <row r="1" spans="1:20" ht="21" x14ac:dyDescent="0.2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28"/>
      <c r="M1" s="28"/>
      <c r="N1" s="28"/>
      <c r="O1" s="28"/>
      <c r="P1" s="28"/>
      <c r="Q1" s="28"/>
      <c r="R1" s="28"/>
      <c r="S1" s="28"/>
      <c r="T1" s="28"/>
    </row>
    <row r="2" spans="1:20" ht="41" customHeight="1" x14ac:dyDescent="0.2">
      <c r="A2" s="94" t="s">
        <v>20</v>
      </c>
      <c r="B2" s="94"/>
      <c r="C2" s="94"/>
      <c r="D2" s="94"/>
      <c r="E2" s="94"/>
      <c r="F2" s="94"/>
      <c r="G2" s="94"/>
      <c r="H2" s="94"/>
      <c r="I2" s="94"/>
      <c r="J2" s="94"/>
      <c r="K2" s="94"/>
    </row>
    <row r="3" spans="1:20" x14ac:dyDescent="0.2">
      <c r="A3" s="4"/>
      <c r="B3" s="4"/>
      <c r="C3" s="92" t="s">
        <v>3</v>
      </c>
      <c r="D3" s="92"/>
      <c r="E3" s="4"/>
      <c r="F3" s="4"/>
      <c r="G3" s="92" t="s">
        <v>4</v>
      </c>
      <c r="H3" s="92"/>
      <c r="I3" s="4"/>
    </row>
    <row r="4" spans="1:20" ht="16" customHeight="1" x14ac:dyDescent="0.2">
      <c r="A4" s="93" t="s">
        <v>5</v>
      </c>
      <c r="B4" s="15" t="s">
        <v>6</v>
      </c>
      <c r="C4" s="15" t="s">
        <v>7</v>
      </c>
      <c r="D4" s="15" t="s">
        <v>8</v>
      </c>
      <c r="E4" s="15" t="s">
        <v>9</v>
      </c>
      <c r="F4" s="15" t="s">
        <v>10</v>
      </c>
      <c r="G4" s="15" t="s">
        <v>7</v>
      </c>
      <c r="H4" s="15" t="s">
        <v>8</v>
      </c>
      <c r="I4" s="15" t="s">
        <v>11</v>
      </c>
      <c r="J4" s="27" t="s">
        <v>17</v>
      </c>
      <c r="K4" s="27" t="s">
        <v>18</v>
      </c>
    </row>
    <row r="5" spans="1:20" x14ac:dyDescent="0.2">
      <c r="A5" s="93"/>
      <c r="B5" s="15" t="s">
        <v>12</v>
      </c>
      <c r="C5" s="15" t="s">
        <v>13</v>
      </c>
      <c r="D5" s="15" t="s">
        <v>14</v>
      </c>
      <c r="E5" s="15" t="s">
        <v>15</v>
      </c>
      <c r="F5" s="15" t="s">
        <v>15</v>
      </c>
      <c r="G5" s="15" t="s">
        <v>13</v>
      </c>
      <c r="H5" s="15" t="s">
        <v>14</v>
      </c>
      <c r="I5" s="15" t="s">
        <v>16</v>
      </c>
      <c r="J5" s="27" t="s">
        <v>19</v>
      </c>
      <c r="K5" s="27"/>
    </row>
    <row r="6" spans="1:20" x14ac:dyDescent="0.2">
      <c r="A6" s="16" t="s">
        <v>63</v>
      </c>
      <c r="B6" s="17">
        <v>1</v>
      </c>
      <c r="C6" s="18">
        <v>2.25</v>
      </c>
      <c r="D6" s="18">
        <v>0.19</v>
      </c>
      <c r="E6" s="17">
        <v>0.24</v>
      </c>
      <c r="F6" s="17">
        <v>0.15</v>
      </c>
      <c r="G6" s="18">
        <f t="shared" ref="G6:H10" si="0">C6-E6</f>
        <v>2.0099999999999998</v>
      </c>
      <c r="H6" s="18">
        <f t="shared" si="0"/>
        <v>4.0000000000000008E-2</v>
      </c>
      <c r="I6" s="17">
        <f>(G6/(G6-H6))*B6</f>
        <v>1.0203045685279188</v>
      </c>
      <c r="J6" s="19">
        <f>SUM(I6:I10)/5</f>
        <v>1.0189462879259579</v>
      </c>
      <c r="K6" s="20">
        <f>STDEV(I6:I10)</f>
        <v>2.9865397709473648E-3</v>
      </c>
    </row>
    <row r="7" spans="1:20" x14ac:dyDescent="0.2">
      <c r="A7" s="21"/>
      <c r="B7" s="7">
        <v>1</v>
      </c>
      <c r="C7" s="22">
        <v>1.76</v>
      </c>
      <c r="D7" s="22">
        <v>0.74</v>
      </c>
      <c r="E7" s="7">
        <f>((5*0.77)+(5*0.76)+(2*0.75))/12</f>
        <v>0.76250000000000007</v>
      </c>
      <c r="F7" s="7">
        <f>((4*0.71)+0.73+(0.72*7))/12</f>
        <v>0.71749999999999992</v>
      </c>
      <c r="G7" s="22">
        <f t="shared" si="0"/>
        <v>0.99749999999999994</v>
      </c>
      <c r="H7" s="22">
        <f t="shared" si="0"/>
        <v>2.2500000000000075E-2</v>
      </c>
      <c r="I7" s="7">
        <f>(G7/(G7-H7))*B7</f>
        <v>1.0230769230769232</v>
      </c>
      <c r="K7" s="9"/>
    </row>
    <row r="8" spans="1:20" x14ac:dyDescent="0.2">
      <c r="A8" s="21"/>
      <c r="B8" s="7">
        <v>1</v>
      </c>
      <c r="C8" s="22">
        <v>1.27</v>
      </c>
      <c r="D8" s="22">
        <v>0.73</v>
      </c>
      <c r="E8" s="7">
        <f t="shared" ref="E8:E65" si="1">((5*0.77)+(5*0.76)+(2*0.75))/12</f>
        <v>0.76250000000000007</v>
      </c>
      <c r="F8" s="7">
        <v>0.72250000000000003</v>
      </c>
      <c r="G8" s="22">
        <f t="shared" si="0"/>
        <v>0.50749999999999995</v>
      </c>
      <c r="H8" s="22">
        <f t="shared" si="0"/>
        <v>7.4999999999999512E-3</v>
      </c>
      <c r="I8" s="7">
        <f>(G8/(G8-H8))*B8</f>
        <v>1.0149999999999999</v>
      </c>
      <c r="K8" s="9"/>
    </row>
    <row r="9" spans="1:20" x14ac:dyDescent="0.2">
      <c r="A9" s="21"/>
      <c r="B9" s="7">
        <v>0.78900000000000003</v>
      </c>
      <c r="C9" s="22">
        <v>2.44</v>
      </c>
      <c r="D9" s="22">
        <v>1.1000000000000001</v>
      </c>
      <c r="E9" s="7">
        <f t="shared" si="1"/>
        <v>0.76250000000000007</v>
      </c>
      <c r="F9" s="7">
        <v>0.72250000000000003</v>
      </c>
      <c r="G9" s="22">
        <f t="shared" si="0"/>
        <v>1.6774999999999998</v>
      </c>
      <c r="H9" s="22">
        <f t="shared" si="0"/>
        <v>0.37750000000000006</v>
      </c>
      <c r="I9" s="7">
        <f>(G9/(G9-H9))*B9</f>
        <v>1.0181134615384617</v>
      </c>
      <c r="K9" s="9"/>
    </row>
    <row r="10" spans="1:20" x14ac:dyDescent="0.2">
      <c r="A10" s="23"/>
      <c r="B10" s="7">
        <v>0.78900000000000003</v>
      </c>
      <c r="C10" s="25">
        <v>1.24</v>
      </c>
      <c r="D10" s="25">
        <v>0.83</v>
      </c>
      <c r="E10" s="24">
        <f t="shared" si="1"/>
        <v>0.76250000000000007</v>
      </c>
      <c r="F10" s="24">
        <v>0.72250000000000003</v>
      </c>
      <c r="G10" s="25">
        <f t="shared" si="0"/>
        <v>0.47749999999999992</v>
      </c>
      <c r="H10" s="25">
        <f t="shared" si="0"/>
        <v>0.10749999999999993</v>
      </c>
      <c r="I10" s="24">
        <f>(G10/(G10-H10))*B10</f>
        <v>1.0182364864864863</v>
      </c>
      <c r="J10" s="11"/>
      <c r="K10" s="12"/>
    </row>
    <row r="11" spans="1:20" x14ac:dyDescent="0.2">
      <c r="A11" s="26" t="s">
        <v>64</v>
      </c>
      <c r="B11" s="17">
        <v>1</v>
      </c>
      <c r="C11" s="18">
        <v>2.97</v>
      </c>
      <c r="D11" s="18">
        <v>0.77</v>
      </c>
      <c r="E11" s="17">
        <v>0.78</v>
      </c>
      <c r="F11" s="17">
        <f>SUM(0.71,0.72,0.72,0.73,0.72,0.74,0.74,0.73,0.73,0.73)/10</f>
        <v>0.72700000000000009</v>
      </c>
      <c r="G11" s="18">
        <f t="shared" ref="G11:H12" si="2">C11-E11</f>
        <v>2.1900000000000004</v>
      </c>
      <c r="H11" s="18">
        <f>D11-F11</f>
        <v>4.2999999999999927E-2</v>
      </c>
      <c r="I11" s="17">
        <f t="shared" ref="I11:I12" si="3">(G11/(G11-H11))*B11</f>
        <v>1.0200279459711226</v>
      </c>
      <c r="J11" s="19">
        <f>SUM(I11:I15)/5</f>
        <v>1.0206761073105692</v>
      </c>
      <c r="K11" s="20">
        <f>STDEV(I11:I15)</f>
        <v>6.7963719202706564E-3</v>
      </c>
    </row>
    <row r="12" spans="1:20" x14ac:dyDescent="0.2">
      <c r="A12" s="21"/>
      <c r="B12" s="7">
        <v>1</v>
      </c>
      <c r="C12" s="22">
        <v>1.98</v>
      </c>
      <c r="D12" s="22">
        <v>0.75</v>
      </c>
      <c r="E12" s="7">
        <v>0.78</v>
      </c>
      <c r="F12" s="7">
        <v>0.72699999999999998</v>
      </c>
      <c r="G12" s="22">
        <f t="shared" si="2"/>
        <v>1.2</v>
      </c>
      <c r="H12" s="22">
        <f t="shared" si="2"/>
        <v>2.300000000000002E-2</v>
      </c>
      <c r="I12" s="7">
        <f t="shared" si="3"/>
        <v>1.0195412064570943</v>
      </c>
      <c r="K12" s="9"/>
    </row>
    <row r="13" spans="1:20" x14ac:dyDescent="0.2">
      <c r="A13" s="21"/>
      <c r="B13" s="7">
        <v>1</v>
      </c>
      <c r="C13" s="22">
        <v>3.61</v>
      </c>
      <c r="D13" s="22">
        <v>0.75</v>
      </c>
      <c r="E13" s="7">
        <f t="shared" ref="E13:E62" si="4">((5*0.77)+(5*0.76)+(2*0.75))/12</f>
        <v>0.76250000000000007</v>
      </c>
      <c r="F13" s="7">
        <f t="shared" ref="F13:F62" si="5">((4*0.71)+0.73+(0.72*7))/12</f>
        <v>0.71749999999999992</v>
      </c>
      <c r="G13" s="22">
        <f t="shared" ref="G13:G30" si="6">C13-E13</f>
        <v>2.8474999999999997</v>
      </c>
      <c r="H13" s="22">
        <f t="shared" ref="H13:H30" si="7">D13-F13</f>
        <v>3.2500000000000084E-2</v>
      </c>
      <c r="I13" s="7">
        <f t="shared" ref="I13:I30" si="8">(G13/(G13-H13))*B13</f>
        <v>1.0115452930728241</v>
      </c>
      <c r="K13" s="9"/>
    </row>
    <row r="14" spans="1:20" x14ac:dyDescent="0.2">
      <c r="A14" s="21"/>
      <c r="B14" s="7">
        <v>1</v>
      </c>
      <c r="C14" s="22">
        <v>3.54</v>
      </c>
      <c r="D14" s="22">
        <v>0.8</v>
      </c>
      <c r="E14" s="7">
        <f t="shared" si="1"/>
        <v>0.76250000000000007</v>
      </c>
      <c r="F14" s="7">
        <v>0.71749999999999992</v>
      </c>
      <c r="G14" s="22">
        <f t="shared" si="6"/>
        <v>2.7774999999999999</v>
      </c>
      <c r="H14" s="22">
        <f t="shared" si="7"/>
        <v>8.2500000000000129E-2</v>
      </c>
      <c r="I14" s="7">
        <f t="shared" si="8"/>
        <v>1.0306122448979591</v>
      </c>
      <c r="K14" s="9"/>
    </row>
    <row r="15" spans="1:20" x14ac:dyDescent="0.2">
      <c r="A15" s="23"/>
      <c r="B15" s="7">
        <v>0.78900000000000003</v>
      </c>
      <c r="C15" s="25">
        <v>3.54</v>
      </c>
      <c r="D15" s="25">
        <v>1.355</v>
      </c>
      <c r="E15" s="24">
        <f t="shared" si="1"/>
        <v>0.76250000000000007</v>
      </c>
      <c r="F15" s="24">
        <v>0.72250000000000003</v>
      </c>
      <c r="G15" s="25">
        <f t="shared" si="6"/>
        <v>2.7774999999999999</v>
      </c>
      <c r="H15" s="25">
        <f t="shared" si="7"/>
        <v>0.63249999999999995</v>
      </c>
      <c r="I15" s="24">
        <f t="shared" si="8"/>
        <v>1.021653846153846</v>
      </c>
      <c r="J15" s="11"/>
      <c r="K15" s="12"/>
    </row>
    <row r="16" spans="1:20" x14ac:dyDescent="0.2">
      <c r="A16" s="26" t="s">
        <v>70</v>
      </c>
      <c r="B16" s="17">
        <v>1</v>
      </c>
      <c r="C16" s="18">
        <v>3.23</v>
      </c>
      <c r="D16" s="18">
        <v>0.78</v>
      </c>
      <c r="E16" s="17">
        <v>0.78</v>
      </c>
      <c r="F16" s="17">
        <v>0.72699999999999998</v>
      </c>
      <c r="G16" s="18">
        <f t="shared" si="6"/>
        <v>2.4500000000000002</v>
      </c>
      <c r="H16" s="18">
        <f t="shared" si="7"/>
        <v>5.3000000000000047E-2</v>
      </c>
      <c r="I16" s="17">
        <f t="shared" si="8"/>
        <v>1.0221109720483939</v>
      </c>
      <c r="J16" s="19">
        <f>SUM(I16:I20)/5</f>
        <v>1.0212736649284273</v>
      </c>
      <c r="K16" s="20">
        <f>STDEV(I16:I20)</f>
        <v>2.2370073379881128E-3</v>
      </c>
    </row>
    <row r="17" spans="1:19" x14ac:dyDescent="0.2">
      <c r="A17" s="21"/>
      <c r="B17" s="7">
        <v>1</v>
      </c>
      <c r="C17" s="22">
        <v>3.2</v>
      </c>
      <c r="D17" s="22">
        <v>0.78</v>
      </c>
      <c r="E17" s="7">
        <v>0.78</v>
      </c>
      <c r="F17" s="7">
        <v>0.72699999999999998</v>
      </c>
      <c r="G17" s="22">
        <f t="shared" si="6"/>
        <v>2.42</v>
      </c>
      <c r="H17" s="22">
        <f t="shared" si="7"/>
        <v>5.3000000000000047E-2</v>
      </c>
      <c r="I17" s="7">
        <f t="shared" si="8"/>
        <v>1.022391212505281</v>
      </c>
      <c r="K17" s="9"/>
    </row>
    <row r="18" spans="1:19" x14ac:dyDescent="0.2">
      <c r="A18" s="21"/>
      <c r="B18" s="7">
        <v>1</v>
      </c>
      <c r="C18" s="22">
        <v>3.47</v>
      </c>
      <c r="D18" s="22">
        <v>0.78</v>
      </c>
      <c r="E18" s="7">
        <f t="shared" si="4"/>
        <v>0.76250000000000007</v>
      </c>
      <c r="F18" s="7">
        <f t="shared" si="5"/>
        <v>0.71749999999999992</v>
      </c>
      <c r="G18" s="22">
        <f t="shared" si="6"/>
        <v>2.7075</v>
      </c>
      <c r="H18" s="22">
        <f t="shared" si="7"/>
        <v>6.2500000000000111E-2</v>
      </c>
      <c r="I18" s="7">
        <f t="shared" si="8"/>
        <v>1.0236294896030245</v>
      </c>
      <c r="K18" s="9"/>
    </row>
    <row r="19" spans="1:19" x14ac:dyDescent="0.2">
      <c r="A19" s="21"/>
      <c r="B19" s="7">
        <v>0.78900000000000003</v>
      </c>
      <c r="C19" s="22">
        <v>3.42</v>
      </c>
      <c r="D19" s="22">
        <v>1.32</v>
      </c>
      <c r="E19" s="7">
        <f t="shared" si="1"/>
        <v>0.76250000000000007</v>
      </c>
      <c r="F19" s="7">
        <f t="shared" ref="F19:F64" si="9">((7*0.72)+(4*0.73)+0.71)/12</f>
        <v>0.72250000000000003</v>
      </c>
      <c r="G19" s="22">
        <f t="shared" si="6"/>
        <v>2.6574999999999998</v>
      </c>
      <c r="H19" s="22">
        <f t="shared" si="7"/>
        <v>0.59750000000000003</v>
      </c>
      <c r="I19" s="7">
        <f t="shared" si="8"/>
        <v>1.0178483009708739</v>
      </c>
      <c r="K19" s="9"/>
    </row>
    <row r="20" spans="1:19" x14ac:dyDescent="0.2">
      <c r="A20" s="23"/>
      <c r="B20" s="24">
        <v>1</v>
      </c>
      <c r="C20" s="25">
        <v>3.39</v>
      </c>
      <c r="D20" s="25">
        <v>0.77</v>
      </c>
      <c r="E20" s="24">
        <f t="shared" si="1"/>
        <v>0.76250000000000007</v>
      </c>
      <c r="F20" s="24">
        <v>0.71749999999999992</v>
      </c>
      <c r="G20" s="25">
        <f t="shared" si="6"/>
        <v>2.6274999999999999</v>
      </c>
      <c r="H20" s="25">
        <f t="shared" si="7"/>
        <v>5.2500000000000102E-2</v>
      </c>
      <c r="I20" s="24">
        <f t="shared" si="8"/>
        <v>1.0203883495145631</v>
      </c>
      <c r="J20" s="11"/>
      <c r="K20" s="12"/>
      <c r="L20" s="7"/>
      <c r="M20" s="7"/>
      <c r="N20" s="7"/>
      <c r="O20" s="7"/>
      <c r="P20" s="7"/>
      <c r="Q20" s="7"/>
      <c r="R20" s="7"/>
      <c r="S20" s="7"/>
    </row>
    <row r="21" spans="1:19" x14ac:dyDescent="0.2">
      <c r="A21" s="26" t="s">
        <v>78</v>
      </c>
      <c r="B21" s="17">
        <v>1</v>
      </c>
      <c r="C21" s="18">
        <v>3.07</v>
      </c>
      <c r="D21" s="18">
        <v>0.79</v>
      </c>
      <c r="E21" s="17">
        <v>0.78</v>
      </c>
      <c r="F21" s="17">
        <v>0.72699999999999998</v>
      </c>
      <c r="G21" s="18">
        <f t="shared" si="6"/>
        <v>2.29</v>
      </c>
      <c r="H21" s="18">
        <f t="shared" si="7"/>
        <v>6.3000000000000056E-2</v>
      </c>
      <c r="I21" s="17">
        <f t="shared" si="8"/>
        <v>1.0282891782667267</v>
      </c>
      <c r="J21" s="19">
        <f>SUM(I21:I25)/5</f>
        <v>1.027502203089333</v>
      </c>
      <c r="K21" s="20">
        <f>STDEV(I21:I25)</f>
        <v>1.9093627688817666E-3</v>
      </c>
    </row>
    <row r="22" spans="1:19" x14ac:dyDescent="0.2">
      <c r="A22" s="21"/>
      <c r="B22" s="7">
        <v>1</v>
      </c>
      <c r="C22" s="22">
        <v>3.33</v>
      </c>
      <c r="D22" s="22">
        <v>0.78</v>
      </c>
      <c r="E22" s="7">
        <f t="shared" si="4"/>
        <v>0.76250000000000007</v>
      </c>
      <c r="F22" s="7">
        <f t="shared" si="5"/>
        <v>0.71749999999999992</v>
      </c>
      <c r="G22" s="22">
        <f t="shared" si="6"/>
        <v>2.5674999999999999</v>
      </c>
      <c r="H22" s="22">
        <f t="shared" si="7"/>
        <v>6.2500000000000111E-2</v>
      </c>
      <c r="I22" s="7">
        <f t="shared" si="8"/>
        <v>1.0249500998003993</v>
      </c>
      <c r="K22" s="9"/>
    </row>
    <row r="23" spans="1:19" x14ac:dyDescent="0.2">
      <c r="A23" s="21"/>
      <c r="B23" s="7">
        <v>1</v>
      </c>
      <c r="C23" s="22">
        <v>3.26</v>
      </c>
      <c r="D23" s="22">
        <v>0.79</v>
      </c>
      <c r="E23" s="7">
        <f t="shared" si="1"/>
        <v>0.76250000000000007</v>
      </c>
      <c r="F23" s="7">
        <v>0.71749999999999992</v>
      </c>
      <c r="G23" s="22">
        <f t="shared" si="6"/>
        <v>2.4974999999999996</v>
      </c>
      <c r="H23" s="22">
        <f t="shared" si="7"/>
        <v>7.250000000000012E-2</v>
      </c>
      <c r="I23" s="7">
        <f t="shared" si="8"/>
        <v>1.029896907216495</v>
      </c>
      <c r="K23" s="9"/>
    </row>
    <row r="24" spans="1:19" x14ac:dyDescent="0.2">
      <c r="A24" s="21"/>
      <c r="B24" s="7">
        <v>0.78900000000000003</v>
      </c>
      <c r="C24" s="22">
        <v>3.26</v>
      </c>
      <c r="D24" s="22">
        <v>1.3</v>
      </c>
      <c r="E24" s="7">
        <f t="shared" si="1"/>
        <v>0.76250000000000007</v>
      </c>
      <c r="F24" s="7">
        <f t="shared" si="9"/>
        <v>0.72250000000000003</v>
      </c>
      <c r="G24" s="22">
        <f t="shared" si="6"/>
        <v>2.4974999999999996</v>
      </c>
      <c r="H24" s="22">
        <f t="shared" si="7"/>
        <v>0.57750000000000001</v>
      </c>
      <c r="I24" s="7">
        <f t="shared" si="8"/>
        <v>1.0263164062500003</v>
      </c>
      <c r="K24" s="9"/>
    </row>
    <row r="25" spans="1:19" x14ac:dyDescent="0.2">
      <c r="A25" s="23"/>
      <c r="B25" s="7">
        <v>0.78900000000000003</v>
      </c>
      <c r="C25" s="25">
        <v>3.16</v>
      </c>
      <c r="D25" s="25">
        <v>1.28</v>
      </c>
      <c r="E25" s="24">
        <f t="shared" si="1"/>
        <v>0.76250000000000007</v>
      </c>
      <c r="F25" s="24">
        <v>0.72250000000000003</v>
      </c>
      <c r="G25" s="25">
        <f t="shared" si="6"/>
        <v>2.3975</v>
      </c>
      <c r="H25" s="25">
        <f t="shared" si="7"/>
        <v>0.5575</v>
      </c>
      <c r="I25" s="24">
        <f t="shared" si="8"/>
        <v>1.0280584239130437</v>
      </c>
      <c r="J25" s="11"/>
      <c r="K25" s="12"/>
    </row>
    <row r="26" spans="1:19" x14ac:dyDescent="0.2">
      <c r="A26" s="26" t="s">
        <v>60</v>
      </c>
      <c r="B26" s="17">
        <v>1</v>
      </c>
      <c r="C26" s="18">
        <v>2.83</v>
      </c>
      <c r="D26" s="18">
        <v>0.78</v>
      </c>
      <c r="E26" s="17">
        <v>0.78</v>
      </c>
      <c r="F26" s="17">
        <v>0.72699999999999998</v>
      </c>
      <c r="G26" s="18">
        <f t="shared" si="6"/>
        <v>2.0499999999999998</v>
      </c>
      <c r="H26" s="18">
        <f t="shared" si="7"/>
        <v>5.3000000000000047E-2</v>
      </c>
      <c r="I26" s="17">
        <f t="shared" si="8"/>
        <v>1.0265398097145719</v>
      </c>
      <c r="J26" s="19">
        <f>SUM(I26:I30)/5</f>
        <v>1.0201373034724996</v>
      </c>
      <c r="K26" s="20">
        <f>STDEV(I26:I30)</f>
        <v>7.3806058242825746E-3</v>
      </c>
    </row>
    <row r="27" spans="1:19" x14ac:dyDescent="0.2">
      <c r="A27" s="21"/>
      <c r="B27" s="7">
        <v>1</v>
      </c>
      <c r="C27" s="22">
        <v>2.15</v>
      </c>
      <c r="D27" s="22">
        <v>0.73</v>
      </c>
      <c r="E27" s="7">
        <f t="shared" si="4"/>
        <v>0.76250000000000007</v>
      </c>
      <c r="F27" s="7">
        <f t="shared" si="5"/>
        <v>0.71749999999999992</v>
      </c>
      <c r="G27" s="22">
        <f t="shared" si="6"/>
        <v>1.3874999999999997</v>
      </c>
      <c r="H27" s="22">
        <f t="shared" si="7"/>
        <v>1.2500000000000067E-2</v>
      </c>
      <c r="I27" s="7">
        <f t="shared" si="8"/>
        <v>1.0090909090909093</v>
      </c>
      <c r="K27" s="9"/>
    </row>
    <row r="28" spans="1:19" x14ac:dyDescent="0.2">
      <c r="A28" s="21"/>
      <c r="B28" s="7">
        <v>1</v>
      </c>
      <c r="C28" s="22">
        <v>3.17</v>
      </c>
      <c r="D28" s="22">
        <v>0.78</v>
      </c>
      <c r="E28" s="7">
        <f t="shared" si="1"/>
        <v>0.76250000000000007</v>
      </c>
      <c r="F28" s="7">
        <v>0.71749999999999992</v>
      </c>
      <c r="G28" s="22">
        <f t="shared" si="6"/>
        <v>2.4074999999999998</v>
      </c>
      <c r="H28" s="22">
        <f t="shared" si="7"/>
        <v>6.2500000000000111E-2</v>
      </c>
      <c r="I28" s="7">
        <f t="shared" si="8"/>
        <v>1.0266524520255864</v>
      </c>
      <c r="K28" s="9"/>
    </row>
    <row r="29" spans="1:19" x14ac:dyDescent="0.2">
      <c r="A29" s="21"/>
      <c r="B29" s="7">
        <v>0.78900000000000003</v>
      </c>
      <c r="C29" s="22">
        <v>2.09</v>
      </c>
      <c r="D29" s="22">
        <v>1.02</v>
      </c>
      <c r="E29" s="7">
        <f t="shared" si="1"/>
        <v>0.76250000000000007</v>
      </c>
      <c r="F29" s="7">
        <f t="shared" si="9"/>
        <v>0.72250000000000003</v>
      </c>
      <c r="G29" s="22">
        <f t="shared" si="6"/>
        <v>1.3274999999999997</v>
      </c>
      <c r="H29" s="22">
        <f t="shared" si="7"/>
        <v>0.29749999999999999</v>
      </c>
      <c r="I29" s="7">
        <f t="shared" si="8"/>
        <v>1.0168907766990292</v>
      </c>
      <c r="K29" s="9"/>
    </row>
    <row r="30" spans="1:19" x14ac:dyDescent="0.2">
      <c r="A30" s="23"/>
      <c r="B30" s="7">
        <v>0.78900000000000003</v>
      </c>
      <c r="C30" s="25">
        <v>3.08</v>
      </c>
      <c r="D30" s="25">
        <v>1.25</v>
      </c>
      <c r="E30" s="24">
        <f t="shared" si="1"/>
        <v>0.76250000000000007</v>
      </c>
      <c r="F30" s="24">
        <v>0.72250000000000003</v>
      </c>
      <c r="G30" s="25">
        <f t="shared" si="6"/>
        <v>2.3174999999999999</v>
      </c>
      <c r="H30" s="25">
        <f t="shared" si="7"/>
        <v>0.52749999999999997</v>
      </c>
      <c r="I30" s="24">
        <f t="shared" si="8"/>
        <v>1.0215125698324024</v>
      </c>
      <c r="J30" s="11"/>
      <c r="K30" s="12"/>
    </row>
    <row r="31" spans="1:19" x14ac:dyDescent="0.2">
      <c r="A31" s="26" t="s">
        <v>66</v>
      </c>
      <c r="B31" s="17">
        <v>1</v>
      </c>
      <c r="C31" s="18">
        <v>3.37</v>
      </c>
      <c r="D31" s="18">
        <v>0.79</v>
      </c>
      <c r="E31" s="17">
        <v>0.78</v>
      </c>
      <c r="F31" s="17">
        <v>0.72699999999999998</v>
      </c>
      <c r="G31" s="18">
        <f t="shared" ref="G31:H31" si="10">C31-E31</f>
        <v>2.59</v>
      </c>
      <c r="H31" s="18">
        <f t="shared" si="10"/>
        <v>6.3000000000000056E-2</v>
      </c>
      <c r="I31" s="17">
        <f t="shared" ref="I31" si="11">(G31/(G31-H31))*B31</f>
        <v>1.0249307479224377</v>
      </c>
      <c r="J31" s="19">
        <f>SUM(I31:I35)/5</f>
        <v>1.0238722180364093</v>
      </c>
      <c r="K31" s="20">
        <f>STDEV(I31:I35)</f>
        <v>3.4590799698412129E-3</v>
      </c>
    </row>
    <row r="32" spans="1:19" x14ac:dyDescent="0.2">
      <c r="A32" s="21"/>
      <c r="B32" s="7">
        <v>1</v>
      </c>
      <c r="C32" s="22">
        <v>3.46</v>
      </c>
      <c r="D32" s="22">
        <v>0.78</v>
      </c>
      <c r="E32" s="7">
        <f t="shared" si="4"/>
        <v>0.76250000000000007</v>
      </c>
      <c r="F32" s="7">
        <f t="shared" si="5"/>
        <v>0.71749999999999992</v>
      </c>
      <c r="G32" s="22">
        <f t="shared" ref="G32:G65" si="12">C32-E32</f>
        <v>2.6974999999999998</v>
      </c>
      <c r="H32" s="22">
        <f t="shared" ref="H32:H65" si="13">D32-F32</f>
        <v>6.2500000000000111E-2</v>
      </c>
      <c r="I32" s="7">
        <f t="shared" ref="I32:I65" si="14">(G32/(G32-H32))*B32</f>
        <v>1.023719165085389</v>
      </c>
      <c r="K32" s="9"/>
    </row>
    <row r="33" spans="1:19" x14ac:dyDescent="0.2">
      <c r="A33" s="21"/>
      <c r="B33" s="7">
        <v>1</v>
      </c>
      <c r="C33" s="22">
        <v>3.58</v>
      </c>
      <c r="D33" s="22">
        <v>0.78500000000000003</v>
      </c>
      <c r="E33" s="7">
        <f t="shared" si="1"/>
        <v>0.76250000000000007</v>
      </c>
      <c r="F33" s="7">
        <v>0.71749999999999992</v>
      </c>
      <c r="G33" s="22">
        <f t="shared" si="12"/>
        <v>2.8174999999999999</v>
      </c>
      <c r="H33" s="22">
        <f t="shared" si="13"/>
        <v>6.7500000000000115E-2</v>
      </c>
      <c r="I33" s="7">
        <f t="shared" si="14"/>
        <v>1.0245454545454544</v>
      </c>
      <c r="K33" s="9"/>
    </row>
    <row r="34" spans="1:19" x14ac:dyDescent="0.2">
      <c r="A34" s="21"/>
      <c r="B34" s="7">
        <v>0.78900000000000003</v>
      </c>
      <c r="C34" s="22">
        <v>3.42</v>
      </c>
      <c r="D34" s="22">
        <v>1.34</v>
      </c>
      <c r="E34" s="7">
        <f t="shared" si="1"/>
        <v>0.76250000000000007</v>
      </c>
      <c r="F34" s="7">
        <f t="shared" si="9"/>
        <v>0.72250000000000003</v>
      </c>
      <c r="G34" s="22">
        <f t="shared" si="12"/>
        <v>2.6574999999999998</v>
      </c>
      <c r="H34" s="22">
        <f t="shared" si="13"/>
        <v>0.61750000000000005</v>
      </c>
      <c r="I34" s="7">
        <f t="shared" si="14"/>
        <v>1.027827205882353</v>
      </c>
      <c r="K34" s="9"/>
    </row>
    <row r="35" spans="1:19" x14ac:dyDescent="0.2">
      <c r="A35" s="23"/>
      <c r="B35" s="7">
        <v>0.78900000000000003</v>
      </c>
      <c r="C35" s="25">
        <v>3.46</v>
      </c>
      <c r="D35" s="25">
        <v>1.33</v>
      </c>
      <c r="E35" s="24">
        <f t="shared" si="1"/>
        <v>0.76250000000000007</v>
      </c>
      <c r="F35" s="24">
        <v>0.72250000000000003</v>
      </c>
      <c r="G35" s="25">
        <f t="shared" si="12"/>
        <v>2.6974999999999998</v>
      </c>
      <c r="H35" s="25">
        <f t="shared" si="13"/>
        <v>0.60750000000000004</v>
      </c>
      <c r="I35" s="24">
        <f t="shared" si="14"/>
        <v>1.0183385167464116</v>
      </c>
      <c r="J35" s="11"/>
      <c r="K35" s="12"/>
    </row>
    <row r="36" spans="1:19" x14ac:dyDescent="0.2">
      <c r="A36" s="26" t="s">
        <v>72</v>
      </c>
      <c r="B36" s="17">
        <v>1</v>
      </c>
      <c r="C36" s="18">
        <v>3.21</v>
      </c>
      <c r="D36" s="18">
        <v>0.83</v>
      </c>
      <c r="E36" s="17">
        <v>0.78</v>
      </c>
      <c r="F36" s="17">
        <v>0.72699999999999998</v>
      </c>
      <c r="G36" s="18">
        <f t="shared" si="12"/>
        <v>2.4299999999999997</v>
      </c>
      <c r="H36" s="18">
        <f t="shared" si="13"/>
        <v>0.10299999999999998</v>
      </c>
      <c r="I36" s="17">
        <f t="shared" si="14"/>
        <v>1.0442629995702621</v>
      </c>
      <c r="J36" s="19">
        <f>SUM(I36:I40)/5</f>
        <v>1.0374268855268369</v>
      </c>
      <c r="K36" s="20">
        <f>STDEV(I36:I40)</f>
        <v>8.3140112453908548E-3</v>
      </c>
    </row>
    <row r="37" spans="1:19" x14ac:dyDescent="0.2">
      <c r="A37" s="21"/>
      <c r="B37" s="7">
        <v>1</v>
      </c>
      <c r="C37" s="22">
        <v>3.24</v>
      </c>
      <c r="D37" s="22">
        <v>0.77500000000000002</v>
      </c>
      <c r="E37" s="7">
        <f t="shared" si="4"/>
        <v>0.76250000000000007</v>
      </c>
      <c r="F37" s="7">
        <f t="shared" si="5"/>
        <v>0.71749999999999992</v>
      </c>
      <c r="G37" s="22">
        <f t="shared" si="12"/>
        <v>2.4775</v>
      </c>
      <c r="H37" s="22">
        <f t="shared" si="13"/>
        <v>5.7500000000000107E-2</v>
      </c>
      <c r="I37" s="7">
        <f t="shared" si="14"/>
        <v>1.0237603305785123</v>
      </c>
      <c r="K37" s="9"/>
    </row>
    <row r="38" spans="1:19" x14ac:dyDescent="0.2">
      <c r="A38" s="21"/>
      <c r="B38" s="7">
        <v>1</v>
      </c>
      <c r="C38" s="22">
        <v>3.2</v>
      </c>
      <c r="D38" s="22">
        <v>0.82</v>
      </c>
      <c r="E38" s="7">
        <f t="shared" si="1"/>
        <v>0.76250000000000007</v>
      </c>
      <c r="F38" s="7">
        <v>0.71749999999999992</v>
      </c>
      <c r="G38" s="22">
        <f t="shared" si="12"/>
        <v>2.4375</v>
      </c>
      <c r="H38" s="22">
        <f t="shared" si="13"/>
        <v>0.10250000000000004</v>
      </c>
      <c r="I38" s="7">
        <f t="shared" si="14"/>
        <v>1.04389721627409</v>
      </c>
      <c r="K38" s="9"/>
    </row>
    <row r="39" spans="1:19" x14ac:dyDescent="0.2">
      <c r="A39" s="21"/>
      <c r="B39" s="7">
        <v>0.78900000000000003</v>
      </c>
      <c r="C39" s="22">
        <v>3.22</v>
      </c>
      <c r="D39" s="22">
        <v>1.31</v>
      </c>
      <c r="E39" s="7">
        <f t="shared" si="1"/>
        <v>0.76250000000000007</v>
      </c>
      <c r="F39" s="7">
        <f t="shared" si="9"/>
        <v>0.72250000000000003</v>
      </c>
      <c r="G39" s="22">
        <f t="shared" si="12"/>
        <v>2.4575</v>
      </c>
      <c r="H39" s="22">
        <f t="shared" si="13"/>
        <v>0.58750000000000002</v>
      </c>
      <c r="I39" s="7">
        <f t="shared" si="14"/>
        <v>1.0368810160427808</v>
      </c>
      <c r="K39" s="9"/>
    </row>
    <row r="40" spans="1:19" x14ac:dyDescent="0.2">
      <c r="A40" s="23"/>
      <c r="B40" s="7">
        <v>0.78900000000000003</v>
      </c>
      <c r="C40" s="25">
        <v>3.105</v>
      </c>
      <c r="D40" s="25">
        <v>1.2849999999999999</v>
      </c>
      <c r="E40" s="24">
        <f t="shared" si="1"/>
        <v>0.76250000000000007</v>
      </c>
      <c r="F40" s="24">
        <v>0.72250000000000003</v>
      </c>
      <c r="G40" s="25">
        <f t="shared" si="12"/>
        <v>2.3424999999999998</v>
      </c>
      <c r="H40" s="25">
        <f t="shared" si="13"/>
        <v>0.56249999999999989</v>
      </c>
      <c r="I40" s="24">
        <f t="shared" si="14"/>
        <v>1.0383328651685393</v>
      </c>
      <c r="J40" s="11"/>
      <c r="K40" s="12"/>
    </row>
    <row r="41" spans="1:19" x14ac:dyDescent="0.2">
      <c r="A41" s="26" t="s">
        <v>80</v>
      </c>
      <c r="B41" s="17">
        <v>1</v>
      </c>
      <c r="C41" s="18">
        <v>3.13</v>
      </c>
      <c r="D41" s="18">
        <v>0.83</v>
      </c>
      <c r="E41" s="17">
        <v>0.78</v>
      </c>
      <c r="F41" s="17">
        <v>0.72699999999999998</v>
      </c>
      <c r="G41" s="18">
        <f t="shared" si="12"/>
        <v>2.3499999999999996</v>
      </c>
      <c r="H41" s="18">
        <f t="shared" si="13"/>
        <v>0.10299999999999998</v>
      </c>
      <c r="I41" s="17">
        <f t="shared" si="14"/>
        <v>1.045838896306186</v>
      </c>
      <c r="J41" s="19">
        <f>SUM(I41:I45)/5</f>
        <v>1.0391276840000754</v>
      </c>
      <c r="K41" s="20">
        <f>STDEV(I41:I45)</f>
        <v>7.9135577272818718E-3</v>
      </c>
    </row>
    <row r="42" spans="1:19" x14ac:dyDescent="0.2">
      <c r="A42" s="21"/>
      <c r="B42" s="7">
        <v>1</v>
      </c>
      <c r="C42" s="22">
        <v>3.1</v>
      </c>
      <c r="D42" s="22">
        <v>0.78</v>
      </c>
      <c r="E42" s="7">
        <f t="shared" si="4"/>
        <v>0.76250000000000007</v>
      </c>
      <c r="F42" s="7">
        <f t="shared" si="5"/>
        <v>0.71749999999999992</v>
      </c>
      <c r="G42" s="22">
        <f t="shared" si="12"/>
        <v>2.3374999999999999</v>
      </c>
      <c r="H42" s="22">
        <f t="shared" si="13"/>
        <v>6.2500000000000111E-2</v>
      </c>
      <c r="I42" s="7">
        <f t="shared" si="14"/>
        <v>1.0274725274725274</v>
      </c>
      <c r="K42" s="9"/>
      <c r="L42" s="7"/>
      <c r="M42" s="7"/>
      <c r="N42" s="7"/>
      <c r="O42" s="7"/>
      <c r="P42" s="7"/>
      <c r="Q42" s="7"/>
      <c r="R42" s="7"/>
      <c r="S42" s="7"/>
    </row>
    <row r="43" spans="1:19" x14ac:dyDescent="0.2">
      <c r="A43" s="21"/>
      <c r="B43" s="7">
        <v>1</v>
      </c>
      <c r="C43" s="22">
        <v>2.84</v>
      </c>
      <c r="D43" s="22">
        <v>0.81</v>
      </c>
      <c r="E43" s="7">
        <f t="shared" si="1"/>
        <v>0.76250000000000007</v>
      </c>
      <c r="F43" s="7">
        <v>0.71749999999999992</v>
      </c>
      <c r="G43" s="22">
        <f t="shared" si="12"/>
        <v>2.0774999999999997</v>
      </c>
      <c r="H43" s="22">
        <f t="shared" si="13"/>
        <v>9.2500000000000138E-2</v>
      </c>
      <c r="I43" s="7">
        <f t="shared" si="14"/>
        <v>1.0465994962216627</v>
      </c>
      <c r="K43" s="9"/>
    </row>
    <row r="44" spans="1:19" x14ac:dyDescent="0.2">
      <c r="A44" s="21"/>
      <c r="B44" s="7">
        <v>0.78900000000000003</v>
      </c>
      <c r="C44" s="22">
        <v>2.74</v>
      </c>
      <c r="D44" s="22">
        <v>1.2</v>
      </c>
      <c r="E44" s="7">
        <f t="shared" si="1"/>
        <v>0.76250000000000007</v>
      </c>
      <c r="F44" s="7">
        <v>0.72250000000000003</v>
      </c>
      <c r="G44" s="22">
        <f t="shared" si="12"/>
        <v>1.9775</v>
      </c>
      <c r="H44" s="22">
        <f t="shared" si="13"/>
        <v>0.47749999999999992</v>
      </c>
      <c r="I44" s="7">
        <f t="shared" si="14"/>
        <v>1.040165</v>
      </c>
      <c r="K44" s="9"/>
    </row>
    <row r="45" spans="1:19" x14ac:dyDescent="0.2">
      <c r="A45" s="23"/>
      <c r="B45" s="7">
        <v>0.78900000000000003</v>
      </c>
      <c r="C45" s="25">
        <v>3.02</v>
      </c>
      <c r="D45" s="25">
        <v>1.26</v>
      </c>
      <c r="E45" s="24">
        <f t="shared" si="1"/>
        <v>0.76250000000000007</v>
      </c>
      <c r="F45" s="24">
        <f t="shared" si="9"/>
        <v>0.72250000000000003</v>
      </c>
      <c r="G45" s="25">
        <f t="shared" si="12"/>
        <v>2.2574999999999998</v>
      </c>
      <c r="H45" s="25">
        <f t="shared" si="13"/>
        <v>0.53749999999999998</v>
      </c>
      <c r="I45" s="24">
        <f t="shared" si="14"/>
        <v>1.0355624999999999</v>
      </c>
      <c r="J45" s="11"/>
      <c r="K45" s="12"/>
    </row>
    <row r="46" spans="1:19" x14ac:dyDescent="0.2">
      <c r="A46" s="26" t="s">
        <v>59</v>
      </c>
      <c r="B46" s="17">
        <v>1</v>
      </c>
      <c r="C46" s="18">
        <v>2.29</v>
      </c>
      <c r="D46" s="18">
        <v>0.75</v>
      </c>
      <c r="E46" s="17">
        <f t="shared" si="4"/>
        <v>0.76250000000000007</v>
      </c>
      <c r="F46" s="17">
        <f t="shared" si="5"/>
        <v>0.71749999999999992</v>
      </c>
      <c r="G46" s="18">
        <f t="shared" si="12"/>
        <v>1.5274999999999999</v>
      </c>
      <c r="H46" s="18">
        <f t="shared" si="13"/>
        <v>3.2500000000000084E-2</v>
      </c>
      <c r="I46" s="17">
        <f t="shared" si="14"/>
        <v>1.0217391304347827</v>
      </c>
      <c r="J46" s="19">
        <f>SUM(I46:I50)/5</f>
        <v>1.0336570401168017</v>
      </c>
      <c r="K46" s="20">
        <f>STDEV(I46:I50)</f>
        <v>1.6915998201246701E-2</v>
      </c>
    </row>
    <row r="47" spans="1:19" x14ac:dyDescent="0.2">
      <c r="A47" s="21"/>
      <c r="B47" s="7">
        <v>1</v>
      </c>
      <c r="C47" s="22">
        <v>2.4500000000000002</v>
      </c>
      <c r="D47" s="22">
        <v>0.75</v>
      </c>
      <c r="E47" s="7">
        <v>0.78</v>
      </c>
      <c r="F47" s="7">
        <v>0.72699999999999998</v>
      </c>
      <c r="G47" s="22">
        <f t="shared" si="12"/>
        <v>1.6700000000000002</v>
      </c>
      <c r="H47" s="22">
        <f t="shared" si="13"/>
        <v>2.300000000000002E-2</v>
      </c>
      <c r="I47" s="7">
        <f t="shared" si="14"/>
        <v>1.0139647844565878</v>
      </c>
      <c r="K47" s="9"/>
    </row>
    <row r="48" spans="1:19" x14ac:dyDescent="0.2">
      <c r="A48" s="21"/>
      <c r="B48" s="7">
        <v>1</v>
      </c>
      <c r="C48" s="22">
        <v>2.5099999999999998</v>
      </c>
      <c r="D48" s="22">
        <v>0.81</v>
      </c>
      <c r="E48" s="7">
        <f t="shared" si="1"/>
        <v>0.76250000000000007</v>
      </c>
      <c r="F48" s="7">
        <v>0.71749999999999992</v>
      </c>
      <c r="G48" s="22">
        <f t="shared" si="12"/>
        <v>1.7474999999999996</v>
      </c>
      <c r="H48" s="22">
        <f t="shared" si="13"/>
        <v>9.2500000000000138E-2</v>
      </c>
      <c r="I48" s="7">
        <f t="shared" si="14"/>
        <v>1.0558912386706951</v>
      </c>
      <c r="K48" s="9"/>
    </row>
    <row r="49" spans="1:11" x14ac:dyDescent="0.2">
      <c r="A49" s="21"/>
      <c r="B49" s="7">
        <v>0.78900000000000003</v>
      </c>
      <c r="C49" s="22">
        <v>2.5099999999999998</v>
      </c>
      <c r="D49" s="22">
        <v>1.1499999999999999</v>
      </c>
      <c r="E49" s="7">
        <f t="shared" si="1"/>
        <v>0.76250000000000007</v>
      </c>
      <c r="F49" s="7">
        <v>0.72250000000000003</v>
      </c>
      <c r="G49" s="22">
        <f t="shared" si="12"/>
        <v>1.7474999999999996</v>
      </c>
      <c r="H49" s="22">
        <f t="shared" si="13"/>
        <v>0.42749999999999988</v>
      </c>
      <c r="I49" s="7">
        <f t="shared" si="14"/>
        <v>1.044528409090909</v>
      </c>
      <c r="K49" s="9"/>
    </row>
    <row r="50" spans="1:11" x14ac:dyDescent="0.2">
      <c r="A50" s="23"/>
      <c r="B50" s="7">
        <v>0.78900000000000003</v>
      </c>
      <c r="C50" s="25">
        <v>2.2799999999999998</v>
      </c>
      <c r="D50" s="25">
        <v>1.08</v>
      </c>
      <c r="E50" s="24">
        <f t="shared" si="1"/>
        <v>0.76250000000000007</v>
      </c>
      <c r="F50" s="24">
        <f t="shared" si="9"/>
        <v>0.72250000000000003</v>
      </c>
      <c r="G50" s="25">
        <f t="shared" si="12"/>
        <v>1.5174999999999996</v>
      </c>
      <c r="H50" s="25">
        <f t="shared" si="13"/>
        <v>0.35750000000000004</v>
      </c>
      <c r="I50" s="24">
        <f t="shared" si="14"/>
        <v>1.0321616379310345</v>
      </c>
      <c r="J50" s="11"/>
      <c r="K50" s="12"/>
    </row>
    <row r="51" spans="1:11" x14ac:dyDescent="0.2">
      <c r="A51" s="26" t="s">
        <v>57</v>
      </c>
      <c r="B51" s="17">
        <v>1</v>
      </c>
      <c r="C51" s="18">
        <v>3.2</v>
      </c>
      <c r="D51" s="18">
        <v>0.81</v>
      </c>
      <c r="E51" s="17">
        <v>0.78</v>
      </c>
      <c r="F51" s="17">
        <v>0.72699999999999998</v>
      </c>
      <c r="G51" s="18">
        <f t="shared" si="12"/>
        <v>2.42</v>
      </c>
      <c r="H51" s="18">
        <f t="shared" si="13"/>
        <v>8.3000000000000074E-2</v>
      </c>
      <c r="I51" s="17">
        <f t="shared" si="14"/>
        <v>1.0355156183140779</v>
      </c>
      <c r="J51" s="19">
        <f>SUM(I51:I55)/5</f>
        <v>1.0395548522743163</v>
      </c>
      <c r="K51" s="20">
        <f>STDEV(I51:I55)</f>
        <v>7.4101211370364243E-3</v>
      </c>
    </row>
    <row r="52" spans="1:11" x14ac:dyDescent="0.2">
      <c r="A52" s="21"/>
      <c r="B52" s="7">
        <v>1</v>
      </c>
      <c r="C52" s="22">
        <v>3.16</v>
      </c>
      <c r="D52" s="22">
        <v>0.79</v>
      </c>
      <c r="E52" s="7">
        <f t="shared" si="4"/>
        <v>0.76250000000000007</v>
      </c>
      <c r="F52" s="7">
        <f t="shared" si="5"/>
        <v>0.71749999999999992</v>
      </c>
      <c r="G52" s="22">
        <f t="shared" si="12"/>
        <v>2.3975</v>
      </c>
      <c r="H52" s="22">
        <f t="shared" si="13"/>
        <v>7.250000000000012E-2</v>
      </c>
      <c r="I52" s="7">
        <f t="shared" si="14"/>
        <v>1.0311827956989248</v>
      </c>
      <c r="K52" s="9"/>
    </row>
    <row r="53" spans="1:11" x14ac:dyDescent="0.2">
      <c r="A53" s="21"/>
      <c r="B53" s="7">
        <v>1</v>
      </c>
      <c r="C53" s="22">
        <v>3.3</v>
      </c>
      <c r="D53" s="22">
        <v>0.84</v>
      </c>
      <c r="E53" s="7">
        <f t="shared" si="1"/>
        <v>0.76250000000000007</v>
      </c>
      <c r="F53" s="7">
        <v>0.71749999999999992</v>
      </c>
      <c r="G53" s="22">
        <f t="shared" si="12"/>
        <v>2.5374999999999996</v>
      </c>
      <c r="H53" s="22">
        <f t="shared" si="13"/>
        <v>0.12250000000000005</v>
      </c>
      <c r="I53" s="7">
        <f t="shared" si="14"/>
        <v>1.0507246376811594</v>
      </c>
      <c r="K53" s="9"/>
    </row>
    <row r="54" spans="1:11" x14ac:dyDescent="0.2">
      <c r="A54" s="21"/>
      <c r="B54" s="40">
        <v>0.78900000000000003</v>
      </c>
      <c r="C54" s="22">
        <v>3.21</v>
      </c>
      <c r="D54" s="22">
        <v>1.31</v>
      </c>
      <c r="E54" s="7">
        <f t="shared" si="1"/>
        <v>0.76250000000000007</v>
      </c>
      <c r="F54" s="7">
        <v>0.72250000000000003</v>
      </c>
      <c r="G54" s="22">
        <f t="shared" si="12"/>
        <v>2.4474999999999998</v>
      </c>
      <c r="H54" s="22">
        <f t="shared" si="13"/>
        <v>0.58750000000000002</v>
      </c>
      <c r="I54" s="7">
        <f t="shared" si="14"/>
        <v>1.0382137096774195</v>
      </c>
      <c r="K54" s="9"/>
    </row>
    <row r="55" spans="1:11" x14ac:dyDescent="0.2">
      <c r="A55" s="23"/>
      <c r="B55" s="40">
        <v>0.78900000000000003</v>
      </c>
      <c r="C55" s="25">
        <v>3.14</v>
      </c>
      <c r="D55" s="25">
        <v>1.3</v>
      </c>
      <c r="E55" s="24">
        <f t="shared" si="1"/>
        <v>0.76250000000000007</v>
      </c>
      <c r="F55" s="24">
        <f t="shared" si="9"/>
        <v>0.72250000000000003</v>
      </c>
      <c r="G55" s="25">
        <f t="shared" si="12"/>
        <v>2.3774999999999999</v>
      </c>
      <c r="H55" s="25">
        <f t="shared" si="13"/>
        <v>0.57750000000000001</v>
      </c>
      <c r="I55" s="24">
        <f t="shared" si="14"/>
        <v>1.0421375000000002</v>
      </c>
      <c r="J55" s="11"/>
      <c r="K55" s="12"/>
    </row>
    <row r="56" spans="1:11" x14ac:dyDescent="0.2">
      <c r="A56" s="26" t="s">
        <v>68</v>
      </c>
      <c r="B56" s="17">
        <v>1</v>
      </c>
      <c r="C56" s="18">
        <v>3.12</v>
      </c>
      <c r="D56" s="18">
        <v>0.83</v>
      </c>
      <c r="E56" s="17">
        <v>0.78</v>
      </c>
      <c r="F56" s="17">
        <v>0.72699999999999998</v>
      </c>
      <c r="G56" s="18">
        <f t="shared" si="12"/>
        <v>2.34</v>
      </c>
      <c r="H56" s="18">
        <f t="shared" si="13"/>
        <v>0.10299999999999998</v>
      </c>
      <c r="I56" s="17">
        <f t="shared" si="14"/>
        <v>1.0460438086723289</v>
      </c>
      <c r="J56" s="19">
        <f>SUM(I56:I60)/5</f>
        <v>1.0493293159991173</v>
      </c>
      <c r="K56" s="20">
        <f>STDEV(I56:I60)</f>
        <v>5.9295070830081053E-3</v>
      </c>
    </row>
    <row r="57" spans="1:11" x14ac:dyDescent="0.2">
      <c r="A57" s="21"/>
      <c r="B57" s="7">
        <v>1</v>
      </c>
      <c r="C57" s="22">
        <v>3.04</v>
      </c>
      <c r="D57" s="22">
        <v>0.81</v>
      </c>
      <c r="E57" s="7">
        <f t="shared" si="4"/>
        <v>0.76250000000000007</v>
      </c>
      <c r="F57" s="7">
        <f t="shared" si="5"/>
        <v>0.71749999999999992</v>
      </c>
      <c r="G57" s="22">
        <f t="shared" si="12"/>
        <v>2.2774999999999999</v>
      </c>
      <c r="H57" s="22">
        <f t="shared" si="13"/>
        <v>9.2500000000000138E-2</v>
      </c>
      <c r="I57" s="7">
        <f t="shared" si="14"/>
        <v>1.04233409610984</v>
      </c>
      <c r="K57" s="9"/>
    </row>
    <row r="58" spans="1:11" x14ac:dyDescent="0.2">
      <c r="A58" s="21"/>
      <c r="B58" s="7">
        <v>1</v>
      </c>
      <c r="C58" s="22">
        <v>2.99</v>
      </c>
      <c r="D58" s="22">
        <v>0.84</v>
      </c>
      <c r="E58" s="7">
        <f t="shared" si="1"/>
        <v>0.76250000000000007</v>
      </c>
      <c r="F58" s="7">
        <v>0.71749999999999992</v>
      </c>
      <c r="G58" s="22">
        <f t="shared" si="12"/>
        <v>2.2275</v>
      </c>
      <c r="H58" s="22">
        <f t="shared" si="13"/>
        <v>0.12250000000000005</v>
      </c>
      <c r="I58" s="7">
        <f t="shared" si="14"/>
        <v>1.0581947743467934</v>
      </c>
      <c r="K58" s="9"/>
    </row>
    <row r="59" spans="1:11" x14ac:dyDescent="0.2">
      <c r="A59" s="21"/>
      <c r="B59" s="40">
        <v>0.78900000000000003</v>
      </c>
      <c r="C59" s="22">
        <v>3.04</v>
      </c>
      <c r="D59" s="22">
        <v>1.29</v>
      </c>
      <c r="E59" s="7">
        <f t="shared" si="1"/>
        <v>0.76250000000000007</v>
      </c>
      <c r="F59" s="7">
        <f t="shared" si="9"/>
        <v>0.72250000000000003</v>
      </c>
      <c r="G59" s="22">
        <f t="shared" si="12"/>
        <v>2.2774999999999999</v>
      </c>
      <c r="H59" s="22">
        <f t="shared" si="13"/>
        <v>0.5675</v>
      </c>
      <c r="I59" s="7">
        <f t="shared" si="14"/>
        <v>1.0508464912280702</v>
      </c>
      <c r="K59" s="9"/>
    </row>
    <row r="60" spans="1:11" x14ac:dyDescent="0.2">
      <c r="A60" s="23"/>
      <c r="B60" s="40">
        <v>0.78900000000000003</v>
      </c>
      <c r="C60" s="25">
        <v>2.97</v>
      </c>
      <c r="D60" s="25">
        <v>1.27</v>
      </c>
      <c r="E60" s="24">
        <f t="shared" si="1"/>
        <v>0.76250000000000007</v>
      </c>
      <c r="F60" s="24">
        <v>0.72250000000000003</v>
      </c>
      <c r="G60" s="25">
        <f t="shared" si="12"/>
        <v>2.2075</v>
      </c>
      <c r="H60" s="25">
        <f t="shared" si="13"/>
        <v>0.54749999999999999</v>
      </c>
      <c r="I60" s="24">
        <f t="shared" si="14"/>
        <v>1.0492274096385541</v>
      </c>
      <c r="J60" s="11"/>
      <c r="K60" s="12"/>
    </row>
    <row r="61" spans="1:11" x14ac:dyDescent="0.2">
      <c r="A61" s="26" t="s">
        <v>81</v>
      </c>
      <c r="B61" s="17">
        <v>1</v>
      </c>
      <c r="C61" s="18">
        <v>3.74</v>
      </c>
      <c r="D61" s="18">
        <v>0.35</v>
      </c>
      <c r="E61" s="17">
        <v>0.34</v>
      </c>
      <c r="F61" s="17">
        <v>0.22</v>
      </c>
      <c r="G61" s="18">
        <f t="shared" si="12"/>
        <v>3.4000000000000004</v>
      </c>
      <c r="H61" s="18">
        <f t="shared" si="13"/>
        <v>0.12999999999999998</v>
      </c>
      <c r="I61" s="17">
        <f t="shared" si="14"/>
        <v>1.0397553516819571</v>
      </c>
      <c r="J61" s="19">
        <f>SUM(I61:I65)/5</f>
        <v>1.0500895565151462</v>
      </c>
      <c r="K61" s="20">
        <f>STDEV(I61:I65)</f>
        <v>1.0983846732586275E-2</v>
      </c>
    </row>
    <row r="62" spans="1:11" x14ac:dyDescent="0.2">
      <c r="A62" s="21"/>
      <c r="B62" s="7">
        <v>1</v>
      </c>
      <c r="C62" s="22">
        <v>2.9</v>
      </c>
      <c r="D62" s="22">
        <v>0.8</v>
      </c>
      <c r="E62" s="7">
        <f t="shared" si="4"/>
        <v>0.76250000000000007</v>
      </c>
      <c r="F62" s="7">
        <f t="shared" si="5"/>
        <v>0.71749999999999992</v>
      </c>
      <c r="G62" s="22">
        <f t="shared" si="12"/>
        <v>2.1374999999999997</v>
      </c>
      <c r="H62" s="22">
        <f t="shared" si="13"/>
        <v>8.2500000000000129E-2</v>
      </c>
      <c r="I62" s="7">
        <f t="shared" si="14"/>
        <v>1.0401459854014599</v>
      </c>
      <c r="K62" s="9"/>
    </row>
    <row r="63" spans="1:11" x14ac:dyDescent="0.2">
      <c r="A63" s="21"/>
      <c r="B63" s="7">
        <v>1</v>
      </c>
      <c r="C63" s="22">
        <v>2.81</v>
      </c>
      <c r="D63" s="22">
        <v>0.84</v>
      </c>
      <c r="E63" s="7">
        <f t="shared" si="1"/>
        <v>0.76250000000000007</v>
      </c>
      <c r="F63" s="7">
        <v>0.71749999999999992</v>
      </c>
      <c r="G63" s="22">
        <f t="shared" si="12"/>
        <v>2.0474999999999999</v>
      </c>
      <c r="H63" s="22">
        <f t="shared" si="13"/>
        <v>0.12250000000000005</v>
      </c>
      <c r="I63" s="7">
        <f t="shared" si="14"/>
        <v>1.0636363636363637</v>
      </c>
      <c r="K63" s="9"/>
    </row>
    <row r="64" spans="1:11" x14ac:dyDescent="0.2">
      <c r="A64" s="21"/>
      <c r="B64" s="40">
        <v>0.78900000000000003</v>
      </c>
      <c r="C64" s="22">
        <v>2.9</v>
      </c>
      <c r="D64" s="22">
        <v>1.25</v>
      </c>
      <c r="E64" s="7">
        <f t="shared" si="1"/>
        <v>0.76250000000000007</v>
      </c>
      <c r="F64" s="7">
        <f t="shared" si="9"/>
        <v>0.72250000000000003</v>
      </c>
      <c r="G64" s="22">
        <f t="shared" si="12"/>
        <v>2.1374999999999997</v>
      </c>
      <c r="H64" s="22">
        <f t="shared" si="13"/>
        <v>0.52749999999999997</v>
      </c>
      <c r="I64" s="7">
        <f t="shared" si="14"/>
        <v>1.0475077639751553</v>
      </c>
      <c r="K64" s="9"/>
    </row>
    <row r="65" spans="1:19" ht="16" customHeight="1" x14ac:dyDescent="0.2">
      <c r="A65" s="23"/>
      <c r="B65" s="83">
        <v>0.78900000000000003</v>
      </c>
      <c r="C65" s="25">
        <v>2.79</v>
      </c>
      <c r="D65" s="25">
        <v>1.24</v>
      </c>
      <c r="E65" s="24">
        <f t="shared" si="1"/>
        <v>0.76250000000000007</v>
      </c>
      <c r="F65" s="24">
        <v>0.72250000000000003</v>
      </c>
      <c r="G65" s="25">
        <f t="shared" si="12"/>
        <v>2.0274999999999999</v>
      </c>
      <c r="H65" s="25">
        <f t="shared" si="13"/>
        <v>0.51749999999999996</v>
      </c>
      <c r="I65" s="24">
        <f t="shared" si="14"/>
        <v>1.0594023178807948</v>
      </c>
      <c r="J65" s="11"/>
      <c r="K65" s="12"/>
    </row>
    <row r="66" spans="1:19" ht="16" customHeight="1" x14ac:dyDescent="0.2">
      <c r="B66" s="7"/>
      <c r="C66" s="7"/>
      <c r="D66" s="7"/>
      <c r="E66" s="7"/>
      <c r="F66" s="7"/>
      <c r="G66" s="7"/>
      <c r="H66" s="7"/>
      <c r="I66" s="7"/>
    </row>
    <row r="67" spans="1:19" ht="23" customHeight="1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</row>
    <row r="68" spans="1:19" x14ac:dyDescent="0.2">
      <c r="C68" s="29"/>
      <c r="D68" s="30"/>
      <c r="E68" s="30"/>
      <c r="F68" s="30"/>
      <c r="G68" s="30"/>
      <c r="H68" s="30"/>
      <c r="I68" s="30"/>
      <c r="J68" s="30"/>
      <c r="K68" s="30"/>
      <c r="L68" s="30"/>
      <c r="M68" s="29"/>
      <c r="N68" s="30"/>
      <c r="O68" s="30"/>
      <c r="P68" s="30"/>
    </row>
    <row r="69" spans="1:19" ht="16" customHeight="1" x14ac:dyDescent="0.2">
      <c r="A69" s="31"/>
      <c r="B69" s="31"/>
      <c r="C69" s="38"/>
      <c r="D69" s="38"/>
      <c r="E69" s="38"/>
      <c r="F69" s="38"/>
      <c r="G69" s="32"/>
      <c r="H69" s="31"/>
      <c r="I69" s="31"/>
      <c r="K69" s="39"/>
      <c r="L69" s="39"/>
      <c r="M69" s="32"/>
      <c r="N69" s="31"/>
      <c r="O69" s="31"/>
      <c r="P69" s="31"/>
      <c r="Q69" s="33"/>
      <c r="R69" s="33"/>
      <c r="S69" s="33"/>
    </row>
    <row r="70" spans="1:19" x14ac:dyDescent="0.2">
      <c r="A70" s="34"/>
      <c r="B70" s="31"/>
      <c r="C70" s="35"/>
    </row>
    <row r="71" spans="1:19" x14ac:dyDescent="0.2">
      <c r="A71" s="31"/>
      <c r="B71" s="31"/>
    </row>
    <row r="72" spans="1:19" x14ac:dyDescent="0.2">
      <c r="A72" s="31"/>
      <c r="B72" s="31"/>
    </row>
    <row r="73" spans="1:19" x14ac:dyDescent="0.2">
      <c r="A73" s="31"/>
      <c r="B73" s="31"/>
    </row>
    <row r="74" spans="1:19" x14ac:dyDescent="0.2">
      <c r="A74" s="34"/>
      <c r="B74" s="31"/>
      <c r="C74" s="4"/>
      <c r="D74" s="8"/>
    </row>
    <row r="75" spans="1:19" x14ac:dyDescent="0.2">
      <c r="A75" s="31"/>
      <c r="B75" s="31"/>
      <c r="C75" s="4"/>
    </row>
    <row r="76" spans="1:19" x14ac:dyDescent="0.2">
      <c r="A76" s="31"/>
      <c r="B76" s="31"/>
    </row>
    <row r="77" spans="1:19" x14ac:dyDescent="0.2">
      <c r="A77" s="31"/>
      <c r="B77" s="31"/>
    </row>
    <row r="78" spans="1:19" x14ac:dyDescent="0.2">
      <c r="A78" s="34"/>
      <c r="B78" s="31"/>
      <c r="E78" s="8"/>
    </row>
    <row r="79" spans="1:19" x14ac:dyDescent="0.2">
      <c r="A79" s="31"/>
      <c r="B79" s="31"/>
      <c r="E79" s="8"/>
    </row>
    <row r="80" spans="1:19" x14ac:dyDescent="0.2">
      <c r="A80" s="34"/>
      <c r="B80" s="31"/>
    </row>
    <row r="81" spans="1:17" x14ac:dyDescent="0.2">
      <c r="A81" s="31"/>
      <c r="B81" s="31"/>
    </row>
    <row r="83" spans="1:17" x14ac:dyDescent="0.2">
      <c r="A83" s="5"/>
      <c r="F83" s="30"/>
    </row>
    <row r="84" spans="1:17" x14ac:dyDescent="0.2">
      <c r="C84" s="29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29"/>
      <c r="Q84" s="6"/>
    </row>
    <row r="85" spans="1:17" x14ac:dyDescent="0.2">
      <c r="M85" s="6"/>
      <c r="N85" s="7"/>
      <c r="O85" s="7"/>
      <c r="P85" s="7"/>
    </row>
    <row r="86" spans="1:17" x14ac:dyDescent="0.2">
      <c r="A86" s="5"/>
      <c r="C86" s="7"/>
    </row>
    <row r="87" spans="1:17" x14ac:dyDescent="0.2">
      <c r="C87" s="7"/>
    </row>
    <row r="88" spans="1:17" x14ac:dyDescent="0.2">
      <c r="C88" s="7"/>
    </row>
    <row r="89" spans="1:17" x14ac:dyDescent="0.2">
      <c r="C89" s="7"/>
    </row>
    <row r="90" spans="1:17" x14ac:dyDescent="0.2">
      <c r="A90" s="5"/>
      <c r="C90" s="7"/>
      <c r="D90" s="4"/>
      <c r="E90" s="4"/>
      <c r="F90" s="4"/>
      <c r="G90" s="8"/>
    </row>
    <row r="91" spans="1:17" x14ac:dyDescent="0.2">
      <c r="C91" s="7"/>
      <c r="D91" s="4"/>
      <c r="E91" s="4"/>
      <c r="F91" s="4"/>
    </row>
    <row r="92" spans="1:17" x14ac:dyDescent="0.2">
      <c r="C92" s="7"/>
    </row>
    <row r="93" spans="1:17" x14ac:dyDescent="0.2">
      <c r="C93" s="7"/>
    </row>
    <row r="94" spans="1:17" x14ac:dyDescent="0.2">
      <c r="A94" s="5"/>
      <c r="C94" s="7"/>
      <c r="G94" s="8"/>
    </row>
    <row r="95" spans="1:17" x14ac:dyDescent="0.2">
      <c r="C95" s="7"/>
      <c r="G95" s="8"/>
    </row>
    <row r="96" spans="1:17" x14ac:dyDescent="0.2">
      <c r="A96" s="5"/>
      <c r="C96" s="7"/>
    </row>
    <row r="98" spans="1:7" ht="34" x14ac:dyDescent="0.2">
      <c r="A98" s="5"/>
      <c r="D98" s="13"/>
      <c r="G98" s="14"/>
    </row>
  </sheetData>
  <mergeCells count="5">
    <mergeCell ref="A1:K1"/>
    <mergeCell ref="C3:D3"/>
    <mergeCell ref="G3:H3"/>
    <mergeCell ref="A4:A5"/>
    <mergeCell ref="A2:K2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"/>
  <sheetViews>
    <sheetView zoomScale="132" zoomScaleNormal="160" workbookViewId="0">
      <selection activeCell="D24" sqref="D24"/>
    </sheetView>
  </sheetViews>
  <sheetFormatPr baseColWidth="10" defaultColWidth="11" defaultRowHeight="16" x14ac:dyDescent="0.2"/>
  <cols>
    <col min="5" max="5" width="11.1640625" bestFit="1" customWidth="1"/>
    <col min="10" max="10" width="12.1640625" bestFit="1" customWidth="1"/>
    <col min="11" max="11" width="19.5" customWidth="1"/>
    <col min="12" max="12" width="12.1640625" bestFit="1" customWidth="1"/>
    <col min="13" max="13" width="32.6640625" customWidth="1"/>
    <col min="15" max="15" width="12.1640625" bestFit="1" customWidth="1"/>
  </cols>
  <sheetData>
    <row r="1" spans="1:15" ht="21" x14ac:dyDescent="0.25">
      <c r="A1" s="91" t="s">
        <v>38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</row>
    <row r="3" spans="1:15" ht="34" x14ac:dyDescent="0.2">
      <c r="C3" s="68" t="s">
        <v>35</v>
      </c>
      <c r="D3" s="111" t="s">
        <v>18</v>
      </c>
      <c r="E3" s="70" t="s">
        <v>39</v>
      </c>
      <c r="F3" s="109" t="s">
        <v>18</v>
      </c>
      <c r="G3" s="33" t="s">
        <v>41</v>
      </c>
      <c r="H3" s="98" t="s">
        <v>18</v>
      </c>
      <c r="I3" s="75" t="s">
        <v>41</v>
      </c>
      <c r="J3" s="112" t="s">
        <v>18</v>
      </c>
      <c r="K3" s="100" t="s">
        <v>38</v>
      </c>
      <c r="L3" s="113" t="s">
        <v>52</v>
      </c>
      <c r="N3" s="37"/>
    </row>
    <row r="4" spans="1:15" x14ac:dyDescent="0.2">
      <c r="C4" s="69" t="s">
        <v>36</v>
      </c>
      <c r="D4" s="98"/>
      <c r="E4" s="71" t="s">
        <v>40</v>
      </c>
      <c r="F4" s="110"/>
      <c r="G4" s="32" t="s">
        <v>42</v>
      </c>
      <c r="H4" s="98"/>
      <c r="I4" s="76" t="s">
        <v>40</v>
      </c>
      <c r="J4" s="112"/>
      <c r="K4" s="100"/>
      <c r="L4" s="113"/>
      <c r="N4" s="36"/>
    </row>
    <row r="5" spans="1:15" x14ac:dyDescent="0.2">
      <c r="A5" s="55">
        <v>0.1</v>
      </c>
      <c r="B5" s="56" t="s">
        <v>82</v>
      </c>
      <c r="C5" s="21">
        <v>2.3288017872672806</v>
      </c>
      <c r="D5">
        <v>1.9403628207287783E-2</v>
      </c>
      <c r="E5" s="2">
        <f>C5*1000000000</f>
        <v>2328801787.2672806</v>
      </c>
      <c r="F5" s="72">
        <f>D5*1000000000</f>
        <v>19403628.207287785</v>
      </c>
      <c r="G5">
        <v>12.826499999999998</v>
      </c>
      <c r="H5">
        <v>2.297366298414544</v>
      </c>
      <c r="I5" s="2">
        <f>G5*1000</f>
        <v>12826.499999999998</v>
      </c>
      <c r="J5" s="2">
        <f>H5*1000</f>
        <v>2297.366298414544</v>
      </c>
      <c r="K5" s="84">
        <f>((3*E5)-I5)/(6*E5)</f>
        <v>0.49999908203866394</v>
      </c>
      <c r="L5">
        <f>((((1/(6*E5))^2)*J5^2)+(((I5/(6*(E5^2)))^2)*F5^2))^0.5</f>
        <v>1.6459470807924848E-7</v>
      </c>
    </row>
    <row r="6" spans="1:15" x14ac:dyDescent="0.2">
      <c r="A6" s="56"/>
      <c r="B6" s="56" t="s">
        <v>83</v>
      </c>
      <c r="C6" s="21">
        <v>2.3556769612756083</v>
      </c>
      <c r="D6">
        <v>2.5393329122372098E-2</v>
      </c>
      <c r="E6" s="2">
        <f t="shared" ref="E6:F16" si="0">C6*1000000000</f>
        <v>2355676961.2756085</v>
      </c>
      <c r="F6" s="72">
        <f t="shared" si="0"/>
        <v>25393329.122372098</v>
      </c>
      <c r="G6">
        <v>28.602333333333334</v>
      </c>
      <c r="H6">
        <v>5.7545835538975165</v>
      </c>
      <c r="I6" s="2">
        <f t="shared" ref="I6:I16" si="1">G6*1000</f>
        <v>28602.333333333336</v>
      </c>
      <c r="J6" s="2">
        <f t="shared" ref="J6:J16" si="2">H6*1000</f>
        <v>5754.5835538975161</v>
      </c>
      <c r="K6" s="84">
        <f t="shared" ref="K6:K16" si="3">((3*E6)-I6)/(6*E6)</f>
        <v>0.49999797635429905</v>
      </c>
      <c r="L6">
        <f>((((1/(6*E6))^2)*J6^2)+(((I6/(6*(E6^2)))^2)*F6^2))^0.5</f>
        <v>4.0772691376972693E-7</v>
      </c>
    </row>
    <row r="7" spans="1:15" x14ac:dyDescent="0.2">
      <c r="A7" s="56"/>
      <c r="B7" s="56" t="s">
        <v>84</v>
      </c>
      <c r="C7" s="21">
        <v>2.3486624174617701</v>
      </c>
      <c r="D7">
        <v>1.1557143836285366E-2</v>
      </c>
      <c r="E7" s="2">
        <f t="shared" si="0"/>
        <v>2348662417.4617701</v>
      </c>
      <c r="F7" s="72">
        <f t="shared" si="0"/>
        <v>11557143.836285366</v>
      </c>
      <c r="G7">
        <v>40.022750000000002</v>
      </c>
      <c r="H7">
        <v>3.6534828992968529</v>
      </c>
      <c r="I7" s="2">
        <f t="shared" si="1"/>
        <v>40022.75</v>
      </c>
      <c r="J7" s="2">
        <f t="shared" si="2"/>
        <v>3653.4828992968528</v>
      </c>
      <c r="K7" s="84">
        <f t="shared" si="3"/>
        <v>0.49999715989054716</v>
      </c>
      <c r="L7">
        <f t="shared" ref="L7:L16" si="4">((((1/(6*E7))^2)*J7^2)+(((I7/(6*(E7^2)))^2)*F7^2))^0.5</f>
        <v>2.5963622893061921E-7</v>
      </c>
    </row>
    <row r="8" spans="1:15" x14ac:dyDescent="0.2">
      <c r="A8" s="56"/>
      <c r="B8" s="56" t="s">
        <v>85</v>
      </c>
      <c r="C8" s="21">
        <v>2.3727496414375731</v>
      </c>
      <c r="D8">
        <v>2.082621955802413E-2</v>
      </c>
      <c r="E8" s="2">
        <f t="shared" si="0"/>
        <v>2372749641.437573</v>
      </c>
      <c r="F8" s="72">
        <f t="shared" si="0"/>
        <v>20826219.558024131</v>
      </c>
      <c r="G8">
        <v>25.242249999999999</v>
      </c>
      <c r="H8">
        <v>3.0004401230183211</v>
      </c>
      <c r="I8" s="2">
        <f t="shared" si="1"/>
        <v>25242.25</v>
      </c>
      <c r="J8" s="2">
        <f t="shared" si="2"/>
        <v>3000.4401230183212</v>
      </c>
      <c r="K8" s="84">
        <f t="shared" si="3"/>
        <v>0.49999822693402068</v>
      </c>
      <c r="L8">
        <f t="shared" si="4"/>
        <v>2.113307027623638E-7</v>
      </c>
    </row>
    <row r="9" spans="1:15" x14ac:dyDescent="0.2">
      <c r="A9" s="57">
        <v>0.15</v>
      </c>
      <c r="B9" s="58" t="s">
        <v>82</v>
      </c>
      <c r="C9" s="21">
        <v>2.3888256642206351</v>
      </c>
      <c r="D9">
        <v>1.9844542717513281E-2</v>
      </c>
      <c r="E9" s="2">
        <f t="shared" si="0"/>
        <v>2388825664.2206349</v>
      </c>
      <c r="F9" s="72">
        <f t="shared" si="0"/>
        <v>19844542.717513282</v>
      </c>
      <c r="G9">
        <v>33.029166666666669</v>
      </c>
      <c r="H9">
        <v>6.480838102834511</v>
      </c>
      <c r="I9" s="2">
        <f t="shared" si="1"/>
        <v>33029.166666666672</v>
      </c>
      <c r="J9" s="2">
        <f t="shared" si="2"/>
        <v>6480.8381028345111</v>
      </c>
      <c r="K9" s="84">
        <f t="shared" si="3"/>
        <v>0.49999769557854573</v>
      </c>
      <c r="L9">
        <f t="shared" si="4"/>
        <v>4.525685205137229E-7</v>
      </c>
    </row>
    <row r="10" spans="1:15" x14ac:dyDescent="0.2">
      <c r="A10" s="59"/>
      <c r="B10" s="56" t="s">
        <v>83</v>
      </c>
      <c r="C10" s="21">
        <v>2.4121357163709889</v>
      </c>
      <c r="D10">
        <v>1.2646751960563547E-2</v>
      </c>
      <c r="E10" s="2">
        <f t="shared" si="0"/>
        <v>2412135716.3709888</v>
      </c>
      <c r="F10" s="72">
        <f t="shared" si="0"/>
        <v>12646751.960563546</v>
      </c>
      <c r="G10">
        <v>56.245333333333328</v>
      </c>
      <c r="H10">
        <v>12.058050221802695</v>
      </c>
      <c r="I10" s="2">
        <f t="shared" si="1"/>
        <v>56245.333333333328</v>
      </c>
      <c r="J10" s="2">
        <f t="shared" si="2"/>
        <v>12058.050221802696</v>
      </c>
      <c r="K10" s="84">
        <f t="shared" si="3"/>
        <v>0.49999611372521102</v>
      </c>
      <c r="L10">
        <f t="shared" si="4"/>
        <v>8.3340084314567942E-7</v>
      </c>
    </row>
    <row r="11" spans="1:15" x14ac:dyDescent="0.2">
      <c r="A11" s="59"/>
      <c r="B11" s="56" t="s">
        <v>84</v>
      </c>
      <c r="C11" s="21">
        <v>2.4412273002387894</v>
      </c>
      <c r="D11">
        <v>2.1505606175871474E-2</v>
      </c>
      <c r="E11" s="2">
        <f t="shared" si="0"/>
        <v>2441227300.2387896</v>
      </c>
      <c r="F11" s="72">
        <f t="shared" si="0"/>
        <v>21505606.175871473</v>
      </c>
      <c r="G11">
        <v>101.07791666666667</v>
      </c>
      <c r="H11">
        <v>9.7576708049553886</v>
      </c>
      <c r="I11" s="2">
        <f t="shared" si="1"/>
        <v>101077.91666666667</v>
      </c>
      <c r="J11" s="2">
        <f t="shared" si="2"/>
        <v>9757.670804955389</v>
      </c>
      <c r="K11" s="84">
        <f t="shared" si="3"/>
        <v>0.49999309924174501</v>
      </c>
      <c r="L11">
        <f t="shared" si="4"/>
        <v>6.6894046679162418E-7</v>
      </c>
    </row>
    <row r="12" spans="1:15" x14ac:dyDescent="0.2">
      <c r="A12" s="60"/>
      <c r="B12" s="61" t="s">
        <v>85</v>
      </c>
      <c r="C12" s="21">
        <v>2.4409216805540028</v>
      </c>
      <c r="D12">
        <v>2.2606385961116596E-2</v>
      </c>
      <c r="E12" s="2">
        <f>C12*1000000000</f>
        <v>2440921680.5540028</v>
      </c>
      <c r="F12" s="72">
        <f>D12*1000000000</f>
        <v>22606385.961116597</v>
      </c>
      <c r="G12">
        <v>95.184000000000012</v>
      </c>
      <c r="H12">
        <v>7.7380784201482227</v>
      </c>
      <c r="I12" s="2">
        <f t="shared" si="1"/>
        <v>95184.000000000015</v>
      </c>
      <c r="J12" s="2">
        <f t="shared" si="2"/>
        <v>7738.0784201482229</v>
      </c>
      <c r="K12" s="84">
        <f>((3*E12)-I12)/(6*E12)</f>
        <v>0.4999935008156442</v>
      </c>
      <c r="L12">
        <f t="shared" si="4"/>
        <v>5.3177521563555118E-7</v>
      </c>
    </row>
    <row r="13" spans="1:15" x14ac:dyDescent="0.2">
      <c r="A13" s="55">
        <v>0.2</v>
      </c>
      <c r="B13" s="56" t="s">
        <v>82</v>
      </c>
      <c r="C13" s="21">
        <v>2.4823167722371773</v>
      </c>
      <c r="D13">
        <v>4.1370627300140246E-2</v>
      </c>
      <c r="E13" s="2">
        <f t="shared" si="0"/>
        <v>2482316772.2371774</v>
      </c>
      <c r="F13" s="72">
        <f t="shared" si="0"/>
        <v>41370627.300140247</v>
      </c>
      <c r="G13">
        <v>47.116416666666659</v>
      </c>
      <c r="H13">
        <v>6.8690208440549458</v>
      </c>
      <c r="I13" s="2">
        <f t="shared" si="1"/>
        <v>47116.416666666657</v>
      </c>
      <c r="J13" s="2">
        <f t="shared" si="2"/>
        <v>6869.0208440549459</v>
      </c>
      <c r="K13" s="84">
        <f t="shared" si="3"/>
        <v>0.49999683652940713</v>
      </c>
      <c r="L13">
        <f t="shared" si="4"/>
        <v>4.6420068929093649E-7</v>
      </c>
    </row>
    <row r="14" spans="1:15" x14ac:dyDescent="0.2">
      <c r="A14" s="56"/>
      <c r="B14" s="56" t="s">
        <v>83</v>
      </c>
      <c r="C14" s="21">
        <v>2.4954541647425041</v>
      </c>
      <c r="D14">
        <v>2.9037679025416357E-2</v>
      </c>
      <c r="E14" s="2">
        <f t="shared" si="0"/>
        <v>2495454164.7425041</v>
      </c>
      <c r="F14" s="72">
        <f t="shared" si="0"/>
        <v>29037679.025416356</v>
      </c>
      <c r="G14">
        <v>127.34616666666666</v>
      </c>
      <c r="H14">
        <v>13.791221712862685</v>
      </c>
      <c r="I14" s="2">
        <f t="shared" si="1"/>
        <v>127346.16666666666</v>
      </c>
      <c r="J14" s="2">
        <f t="shared" si="2"/>
        <v>13791.221712862685</v>
      </c>
      <c r="K14" s="84">
        <f t="shared" si="3"/>
        <v>0.49999149479024257</v>
      </c>
      <c r="L14">
        <f t="shared" si="4"/>
        <v>9.263913239816951E-7</v>
      </c>
    </row>
    <row r="15" spans="1:15" x14ac:dyDescent="0.2">
      <c r="A15" s="55"/>
      <c r="B15" s="56" t="s">
        <v>86</v>
      </c>
      <c r="C15" s="21">
        <v>2.546026526471187</v>
      </c>
      <c r="D15">
        <v>2.936048681708503E-2</v>
      </c>
      <c r="E15" s="2">
        <f t="shared" si="0"/>
        <v>2546026526.4711871</v>
      </c>
      <c r="F15" s="72">
        <f t="shared" si="0"/>
        <v>29360486.817085031</v>
      </c>
      <c r="G15">
        <v>193.38225</v>
      </c>
      <c r="H15">
        <v>23.882761634606876</v>
      </c>
      <c r="I15" s="2">
        <f t="shared" si="1"/>
        <v>193382.25</v>
      </c>
      <c r="J15" s="2">
        <f t="shared" si="2"/>
        <v>23882.761634606875</v>
      </c>
      <c r="K15" s="84">
        <f t="shared" si="3"/>
        <v>0.4999873409115479</v>
      </c>
      <c r="L15">
        <f t="shared" si="4"/>
        <v>1.5702017678771223E-6</v>
      </c>
    </row>
    <row r="16" spans="1:15" x14ac:dyDescent="0.2">
      <c r="A16" s="56"/>
      <c r="B16" s="56" t="s">
        <v>85</v>
      </c>
      <c r="C16" s="23">
        <v>2.5593459869532693</v>
      </c>
      <c r="D16" s="11">
        <v>3.4650809100197612E-2</v>
      </c>
      <c r="E16" s="73">
        <f t="shared" si="0"/>
        <v>2559345986.9532695</v>
      </c>
      <c r="F16" s="74">
        <f>D16*1000000000</f>
        <v>34650809.100197613</v>
      </c>
      <c r="G16">
        <v>184.38775000000001</v>
      </c>
      <c r="H16">
        <v>26.002573439512972</v>
      </c>
      <c r="I16" s="2">
        <f t="shared" si="1"/>
        <v>184387.75</v>
      </c>
      <c r="J16" s="2">
        <f t="shared" si="2"/>
        <v>26002.573439512973</v>
      </c>
      <c r="K16" s="84">
        <f t="shared" si="3"/>
        <v>0.49998799252159604</v>
      </c>
      <c r="L16">
        <f t="shared" si="4"/>
        <v>1.7010943742851784E-6</v>
      </c>
    </row>
  </sheetData>
  <mergeCells count="7">
    <mergeCell ref="A1:O1"/>
    <mergeCell ref="H3:H4"/>
    <mergeCell ref="F3:F4"/>
    <mergeCell ref="D3:D4"/>
    <mergeCell ref="J3:J4"/>
    <mergeCell ref="K3:K4"/>
    <mergeCell ref="L3:L4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"/>
  <sheetViews>
    <sheetView zoomScale="125" workbookViewId="0">
      <selection activeCell="B19" sqref="B19"/>
    </sheetView>
  </sheetViews>
  <sheetFormatPr baseColWidth="10" defaultColWidth="11" defaultRowHeight="16" x14ac:dyDescent="0.2"/>
  <sheetData>
    <row r="1" spans="1:14" ht="21" x14ac:dyDescent="0.25">
      <c r="A1" s="91" t="s">
        <v>43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1:14" x14ac:dyDescent="0.2">
      <c r="A2" s="41" t="s">
        <v>22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7"/>
      <c r="M2" s="7"/>
      <c r="N2" s="7"/>
    </row>
    <row r="4" spans="1:14" ht="34" x14ac:dyDescent="0.2">
      <c r="C4" s="97" t="s">
        <v>25</v>
      </c>
      <c r="D4" s="97"/>
      <c r="E4" s="97"/>
      <c r="F4" s="97"/>
      <c r="G4" s="97"/>
      <c r="H4" s="97"/>
      <c r="I4" s="97"/>
      <c r="J4" s="97"/>
      <c r="K4" s="97"/>
      <c r="L4" s="44" t="s">
        <v>23</v>
      </c>
      <c r="M4" s="43" t="s">
        <v>24</v>
      </c>
      <c r="N4" s="77" t="s">
        <v>18</v>
      </c>
    </row>
    <row r="5" spans="1:14" x14ac:dyDescent="0.2">
      <c r="A5" s="3">
        <v>0.1</v>
      </c>
      <c r="B5" s="1" t="s">
        <v>82</v>
      </c>
      <c r="C5" s="7">
        <v>1513.7</v>
      </c>
      <c r="D5" s="7">
        <v>1514.2666666666667</v>
      </c>
      <c r="E5" s="45">
        <v>1514.2666666666667</v>
      </c>
      <c r="F5" s="7">
        <v>1517.3333333333333</v>
      </c>
      <c r="G5" s="7">
        <v>1516.8</v>
      </c>
      <c r="H5" s="7">
        <v>1517.2666666666667</v>
      </c>
      <c r="I5" s="7">
        <v>1503.6999999999998</v>
      </c>
      <c r="J5" s="7">
        <v>1503.6999999999998</v>
      </c>
      <c r="K5" s="7">
        <v>1505.0500000000002</v>
      </c>
      <c r="L5" s="7">
        <v>9</v>
      </c>
      <c r="M5">
        <f>SUM(C5:K5)/L5</f>
        <v>1511.787037037037</v>
      </c>
      <c r="N5">
        <f>STDEV(C5:K5)</f>
        <v>5.8955714180797827</v>
      </c>
    </row>
    <row r="6" spans="1:14" x14ac:dyDescent="0.2">
      <c r="A6" s="1"/>
      <c r="B6" s="1" t="s">
        <v>83</v>
      </c>
      <c r="C6" s="7">
        <v>1511.1000000000001</v>
      </c>
      <c r="D6" s="7">
        <v>1511.3</v>
      </c>
      <c r="E6" s="46">
        <v>1511.3</v>
      </c>
      <c r="F6" s="7">
        <v>1527.0666666666668</v>
      </c>
      <c r="G6" s="7">
        <v>1526.5666666666668</v>
      </c>
      <c r="H6" s="7">
        <v>1519.1666666666667</v>
      </c>
      <c r="I6" s="7">
        <v>1521.9666666666665</v>
      </c>
      <c r="J6" s="7">
        <v>1521.9666666666665</v>
      </c>
      <c r="K6" s="7">
        <v>1522.3333333333333</v>
      </c>
      <c r="L6" s="7">
        <v>9</v>
      </c>
      <c r="M6">
        <f t="shared" ref="M6:M16" si="0">SUM(C6:K6)/L6</f>
        <v>1519.1962962962964</v>
      </c>
      <c r="N6">
        <f t="shared" ref="N6:N16" si="1">STDEV(C6:K6)</f>
        <v>6.4392340047478811</v>
      </c>
    </row>
    <row r="7" spans="1:14" x14ac:dyDescent="0.2">
      <c r="A7" s="1"/>
      <c r="B7" s="1" t="s">
        <v>84</v>
      </c>
      <c r="C7" s="7">
        <v>1518.3999999999999</v>
      </c>
      <c r="D7" s="7">
        <v>1520.1000000000001</v>
      </c>
      <c r="E7" s="7">
        <v>1520.0333333333335</v>
      </c>
      <c r="F7" s="7">
        <v>1517.6</v>
      </c>
      <c r="G7" s="7">
        <v>1517.6333333333332</v>
      </c>
      <c r="H7" s="7">
        <v>1517.9333333333334</v>
      </c>
      <c r="I7" s="7">
        <v>1511.3999999999999</v>
      </c>
      <c r="J7" s="7">
        <v>1512.8</v>
      </c>
      <c r="K7" s="7">
        <v>1512.5</v>
      </c>
      <c r="L7" s="7">
        <v>9</v>
      </c>
      <c r="M7">
        <f t="shared" si="0"/>
        <v>1516.4888888888888</v>
      </c>
      <c r="N7">
        <f t="shared" si="1"/>
        <v>3.3410743448445124</v>
      </c>
    </row>
    <row r="8" spans="1:14" x14ac:dyDescent="0.2">
      <c r="A8" s="1"/>
      <c r="B8" s="1" t="s">
        <v>85</v>
      </c>
      <c r="C8" s="7">
        <v>1529.2666666666667</v>
      </c>
      <c r="D8" s="47">
        <v>1528.7</v>
      </c>
      <c r="E8" s="7">
        <v>1520.8333333333333</v>
      </c>
      <c r="F8" s="7">
        <v>1520.1333333333332</v>
      </c>
      <c r="G8" s="7">
        <v>1520.1333333333332</v>
      </c>
      <c r="H8" s="7">
        <v>1520.5666666666666</v>
      </c>
      <c r="I8" s="7">
        <v>1511.4333333333334</v>
      </c>
      <c r="J8" s="7">
        <v>1512.8999999999999</v>
      </c>
      <c r="K8" s="7">
        <v>1512.5999999999997</v>
      </c>
      <c r="L8" s="7">
        <v>9</v>
      </c>
      <c r="M8">
        <f>SUM(C8:K8)/L8</f>
        <v>1519.6185185185184</v>
      </c>
      <c r="N8">
        <f t="shared" si="1"/>
        <v>6.5178624459402483</v>
      </c>
    </row>
    <row r="9" spans="1:14" x14ac:dyDescent="0.2">
      <c r="A9" s="62">
        <v>0.15</v>
      </c>
      <c r="B9" s="52" t="s">
        <v>82</v>
      </c>
      <c r="C9" s="17">
        <v>1528.6666666666667</v>
      </c>
      <c r="D9" s="17">
        <v>1527.4333333333334</v>
      </c>
      <c r="E9" s="17">
        <v>1527.4333333333334</v>
      </c>
      <c r="F9" s="17">
        <v>1534.0666666666666</v>
      </c>
      <c r="G9" s="17">
        <v>1534.4333333333332</v>
      </c>
      <c r="H9" s="17">
        <v>1534.3666666666668</v>
      </c>
      <c r="I9" s="17">
        <v>1527.3</v>
      </c>
      <c r="J9" s="17">
        <v>1529.5</v>
      </c>
      <c r="K9" s="17">
        <v>1529.0666666666666</v>
      </c>
      <c r="L9" s="17">
        <v>9</v>
      </c>
      <c r="M9" s="19">
        <f t="shared" si="0"/>
        <v>1530.2518518518518</v>
      </c>
      <c r="N9" s="20">
        <f>STDEV(C9:K9)</f>
        <v>3.1235712783389507</v>
      </c>
    </row>
    <row r="10" spans="1:14" x14ac:dyDescent="0.2">
      <c r="A10" s="10"/>
      <c r="B10" s="1" t="s">
        <v>83</v>
      </c>
      <c r="C10" s="7">
        <v>1532.2333333333333</v>
      </c>
      <c r="D10" s="7">
        <v>1531.6333333333332</v>
      </c>
      <c r="E10" s="7">
        <v>1531.6666666666667</v>
      </c>
      <c r="F10" s="7">
        <v>1533.9666666666665</v>
      </c>
      <c r="G10" s="7">
        <v>1534.1666666666667</v>
      </c>
      <c r="H10" s="7">
        <v>1534.1333333333332</v>
      </c>
      <c r="I10" s="7">
        <v>1537.8666666666668</v>
      </c>
      <c r="J10" s="7">
        <v>1539.2666666666667</v>
      </c>
      <c r="K10" s="7">
        <v>1539.0999999999997</v>
      </c>
      <c r="L10" s="7">
        <v>9</v>
      </c>
      <c r="M10">
        <f t="shared" si="0"/>
        <v>1534.8925925925926</v>
      </c>
      <c r="N10" s="9">
        <f t="shared" si="1"/>
        <v>3.0769653961951762</v>
      </c>
    </row>
    <row r="11" spans="1:14" x14ac:dyDescent="0.2">
      <c r="A11" s="10"/>
      <c r="B11" s="1" t="s">
        <v>84</v>
      </c>
      <c r="C11" s="7">
        <v>1529.8</v>
      </c>
      <c r="D11" s="7">
        <v>1531.6333333333332</v>
      </c>
      <c r="E11" s="7">
        <v>1531.5333333333335</v>
      </c>
      <c r="F11" s="7">
        <v>1533.6000000000001</v>
      </c>
      <c r="G11" s="7">
        <v>1533.8</v>
      </c>
      <c r="H11" s="7">
        <v>1533.8</v>
      </c>
      <c r="I11" s="7">
        <v>1536.3999999999999</v>
      </c>
      <c r="J11" s="7">
        <v>1537.8</v>
      </c>
      <c r="K11" s="7">
        <v>1537.6333333333332</v>
      </c>
      <c r="L11" s="7">
        <v>9</v>
      </c>
      <c r="M11">
        <f>SUM(C11:K11)/L11</f>
        <v>1534</v>
      </c>
      <c r="N11" s="9">
        <f>STDEV(C11:K11)</f>
        <v>2.8055005495157341</v>
      </c>
    </row>
    <row r="12" spans="1:14" x14ac:dyDescent="0.2">
      <c r="A12" s="63"/>
      <c r="B12" s="64" t="s">
        <v>85</v>
      </c>
      <c r="C12" s="24">
        <v>1531.5</v>
      </c>
      <c r="D12" s="24">
        <v>1531.4</v>
      </c>
      <c r="E12" s="65">
        <v>1538.4</v>
      </c>
      <c r="F12" s="24">
        <v>1538.7</v>
      </c>
      <c r="G12" s="24">
        <v>1527.5666666666668</v>
      </c>
      <c r="H12" s="24">
        <v>1527.0333333333335</v>
      </c>
      <c r="I12" s="24">
        <v>1533</v>
      </c>
      <c r="J12" s="24">
        <v>1533.1333333333332</v>
      </c>
      <c r="K12" s="24">
        <v>1533.1000000000001</v>
      </c>
      <c r="L12" s="24">
        <v>9</v>
      </c>
      <c r="M12" s="11">
        <f t="shared" si="0"/>
        <v>1532.6481481481483</v>
      </c>
      <c r="N12" s="12">
        <f t="shared" si="1"/>
        <v>4.0388086496690656</v>
      </c>
    </row>
    <row r="13" spans="1:14" x14ac:dyDescent="0.2">
      <c r="A13" s="3">
        <v>0.2</v>
      </c>
      <c r="B13" s="1" t="s">
        <v>82</v>
      </c>
      <c r="C13" s="7">
        <v>1547.4333333333332</v>
      </c>
      <c r="D13" s="7">
        <v>1549.5333333333335</v>
      </c>
      <c r="E13" s="7">
        <v>1549.8666666666668</v>
      </c>
      <c r="F13" s="7">
        <v>1547.9333333333334</v>
      </c>
      <c r="G13" s="7">
        <v>1547.1333333333332</v>
      </c>
      <c r="H13" s="7">
        <v>1547.1666666666667</v>
      </c>
      <c r="I13" s="7">
        <v>1552.5333333333335</v>
      </c>
      <c r="J13" s="7">
        <v>1552.7333333333333</v>
      </c>
      <c r="K13" s="7">
        <v>1552.7333333333333</v>
      </c>
      <c r="L13" s="7">
        <v>9</v>
      </c>
      <c r="M13">
        <f t="shared" si="0"/>
        <v>1549.6740740740743</v>
      </c>
      <c r="N13">
        <f t="shared" si="1"/>
        <v>2.4429477741369654</v>
      </c>
    </row>
    <row r="14" spans="1:14" x14ac:dyDescent="0.2">
      <c r="A14" s="1"/>
      <c r="B14" s="1" t="s">
        <v>83</v>
      </c>
      <c r="C14" s="7">
        <v>1547.5666666666666</v>
      </c>
      <c r="D14" s="7">
        <v>1549.5333333333335</v>
      </c>
      <c r="E14" s="7">
        <v>1549.8666666666668</v>
      </c>
      <c r="F14" s="7">
        <v>1541.8333333333333</v>
      </c>
      <c r="G14" s="7">
        <v>1541.2666666666667</v>
      </c>
      <c r="H14" s="7">
        <v>1541.3333333333333</v>
      </c>
      <c r="I14" s="7">
        <v>1556.0666666666668</v>
      </c>
      <c r="J14" s="7">
        <v>1556.2666666666664</v>
      </c>
      <c r="K14" s="7">
        <v>1560.4666666666665</v>
      </c>
      <c r="L14" s="7">
        <v>9</v>
      </c>
      <c r="M14">
        <f t="shared" si="0"/>
        <v>1549.3555555555556</v>
      </c>
      <c r="N14">
        <f t="shared" si="1"/>
        <v>7.1249756334865779</v>
      </c>
    </row>
    <row r="15" spans="1:14" x14ac:dyDescent="0.2">
      <c r="A15" s="3"/>
      <c r="B15" s="1" t="s">
        <v>86</v>
      </c>
      <c r="C15" s="7">
        <v>1568.4333333333334</v>
      </c>
      <c r="D15" s="7">
        <v>1567.7</v>
      </c>
      <c r="E15" s="7">
        <v>1567.7666666666667</v>
      </c>
      <c r="F15" s="7">
        <v>1551.2</v>
      </c>
      <c r="G15" s="7">
        <v>1551.3666666666668</v>
      </c>
      <c r="H15" s="7">
        <v>1555.4666666666665</v>
      </c>
      <c r="I15" s="7">
        <v>1551.5</v>
      </c>
      <c r="J15" s="7">
        <v>1552.9333333333334</v>
      </c>
      <c r="K15" s="7">
        <v>1552.6666666666667</v>
      </c>
      <c r="L15" s="7">
        <v>9</v>
      </c>
      <c r="M15">
        <f t="shared" si="0"/>
        <v>1557.6703703703702</v>
      </c>
      <c r="N15">
        <f t="shared" si="1"/>
        <v>7.8292621414161543</v>
      </c>
    </row>
    <row r="16" spans="1:14" x14ac:dyDescent="0.2">
      <c r="A16" s="1"/>
      <c r="B16" s="1" t="s">
        <v>85</v>
      </c>
      <c r="C16" s="7">
        <v>1567.7</v>
      </c>
      <c r="D16" s="7">
        <v>1567.0666666666666</v>
      </c>
      <c r="E16" s="7">
        <v>1567.1333333333332</v>
      </c>
      <c r="F16" s="7">
        <v>1551.0999999999997</v>
      </c>
      <c r="G16" s="7">
        <v>1551.2666666666664</v>
      </c>
      <c r="H16" s="7">
        <v>1555.6333333333332</v>
      </c>
      <c r="I16" s="7">
        <v>1563.6000000000001</v>
      </c>
      <c r="J16" s="7">
        <v>1563.4666666666665</v>
      </c>
      <c r="K16" s="7">
        <v>1563.6000000000001</v>
      </c>
      <c r="L16" s="7">
        <v>9</v>
      </c>
      <c r="M16">
        <f t="shared" si="0"/>
        <v>1561.174074074074</v>
      </c>
      <c r="N16">
        <f t="shared" si="1"/>
        <v>6.7100003679786067</v>
      </c>
    </row>
  </sheetData>
  <mergeCells count="2">
    <mergeCell ref="C4:K4"/>
    <mergeCell ref="A1:N1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45"/>
  <sheetViews>
    <sheetView topLeftCell="P1" workbookViewId="0">
      <selection activeCell="AG57" sqref="AG57"/>
    </sheetView>
  </sheetViews>
  <sheetFormatPr baseColWidth="10" defaultColWidth="8.83203125" defaultRowHeight="16" x14ac:dyDescent="0.2"/>
  <cols>
    <col min="3" max="3" width="10" customWidth="1"/>
    <col min="18" max="18" width="9.83203125" customWidth="1"/>
  </cols>
  <sheetData>
    <row r="1" spans="1:38" x14ac:dyDescent="0.2">
      <c r="A1" s="104">
        <v>0.1</v>
      </c>
      <c r="B1" s="104"/>
      <c r="C1" s="104"/>
      <c r="D1" s="104"/>
      <c r="E1" s="104"/>
      <c r="F1" s="104"/>
      <c r="H1" s="104">
        <v>0.15</v>
      </c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G1" s="104">
        <v>0.2</v>
      </c>
      <c r="AH1" s="104"/>
      <c r="AI1" s="104"/>
      <c r="AJ1" s="104"/>
      <c r="AK1" s="104"/>
      <c r="AL1" s="104"/>
    </row>
    <row r="2" spans="1:38" x14ac:dyDescent="0.2">
      <c r="A2" s="105" t="s">
        <v>83</v>
      </c>
      <c r="B2" s="106"/>
      <c r="C2" s="106"/>
      <c r="D2" s="106"/>
      <c r="E2" s="106"/>
      <c r="F2" s="107"/>
      <c r="H2" s="105" t="s">
        <v>82</v>
      </c>
      <c r="I2" s="106"/>
      <c r="J2" s="106"/>
      <c r="K2" s="106"/>
      <c r="L2" s="106"/>
      <c r="M2" s="107"/>
      <c r="N2" s="108" t="s">
        <v>83</v>
      </c>
      <c r="O2" s="108"/>
      <c r="P2" s="108"/>
      <c r="Q2" s="108"/>
      <c r="R2" s="108"/>
      <c r="S2" s="108"/>
      <c r="T2" s="105" t="s">
        <v>84</v>
      </c>
      <c r="U2" s="106"/>
      <c r="V2" s="106"/>
      <c r="W2" s="106"/>
      <c r="X2" s="106"/>
      <c r="Y2" s="107"/>
      <c r="Z2" s="108" t="s">
        <v>85</v>
      </c>
      <c r="AA2" s="108"/>
      <c r="AB2" s="108"/>
      <c r="AC2" s="108"/>
      <c r="AD2" s="108"/>
      <c r="AE2" s="108"/>
      <c r="AG2" s="105" t="s">
        <v>83</v>
      </c>
      <c r="AH2" s="106"/>
      <c r="AI2" s="106"/>
      <c r="AJ2" s="106"/>
      <c r="AK2" s="106"/>
      <c r="AL2" s="107"/>
    </row>
    <row r="3" spans="1:38" x14ac:dyDescent="0.2">
      <c r="A3" s="80" t="s">
        <v>50</v>
      </c>
      <c r="B3" s="1" t="s">
        <v>48</v>
      </c>
      <c r="C3" s="1" t="s">
        <v>50</v>
      </c>
      <c r="D3" s="1" t="s">
        <v>48</v>
      </c>
      <c r="E3" s="1" t="s">
        <v>50</v>
      </c>
      <c r="F3" s="79" t="s">
        <v>48</v>
      </c>
      <c r="H3" s="80" t="s">
        <v>50</v>
      </c>
      <c r="I3" s="1" t="s">
        <v>48</v>
      </c>
      <c r="J3" s="1" t="s">
        <v>50</v>
      </c>
      <c r="K3" s="1" t="s">
        <v>48</v>
      </c>
      <c r="L3" s="1" t="s">
        <v>50</v>
      </c>
      <c r="M3" s="79" t="s">
        <v>48</v>
      </c>
      <c r="N3" s="78" t="s">
        <v>50</v>
      </c>
      <c r="O3" s="1" t="s">
        <v>48</v>
      </c>
      <c r="P3" s="1" t="s">
        <v>50</v>
      </c>
      <c r="Q3" s="1" t="s">
        <v>48</v>
      </c>
      <c r="R3" s="1" t="s">
        <v>50</v>
      </c>
      <c r="S3" s="1" t="s">
        <v>48</v>
      </c>
      <c r="T3" s="80" t="s">
        <v>50</v>
      </c>
      <c r="U3" s="1" t="s">
        <v>48</v>
      </c>
      <c r="V3" s="1" t="s">
        <v>50</v>
      </c>
      <c r="W3" s="1" t="s">
        <v>48</v>
      </c>
      <c r="X3" s="1" t="s">
        <v>50</v>
      </c>
      <c r="Y3" s="79" t="s">
        <v>48</v>
      </c>
      <c r="Z3" s="78" t="s">
        <v>50</v>
      </c>
      <c r="AA3" s="1" t="s">
        <v>48</v>
      </c>
      <c r="AB3" s="1" t="s">
        <v>50</v>
      </c>
      <c r="AC3" s="1" t="s">
        <v>48</v>
      </c>
      <c r="AD3" s="1" t="s">
        <v>50</v>
      </c>
      <c r="AE3" s="1" t="s">
        <v>48</v>
      </c>
      <c r="AG3" s="80" t="s">
        <v>50</v>
      </c>
      <c r="AH3" s="1" t="s">
        <v>48</v>
      </c>
      <c r="AI3" s="1" t="s">
        <v>50</v>
      </c>
      <c r="AJ3" s="1" t="s">
        <v>48</v>
      </c>
      <c r="AK3" s="1" t="s">
        <v>50</v>
      </c>
      <c r="AL3" s="79" t="s">
        <v>48</v>
      </c>
    </row>
    <row r="4" spans="1:38" x14ac:dyDescent="0.2">
      <c r="A4" s="80" t="s">
        <v>51</v>
      </c>
      <c r="B4" s="1" t="s">
        <v>49</v>
      </c>
      <c r="C4" s="1" t="s">
        <v>51</v>
      </c>
      <c r="D4" s="1" t="s">
        <v>49</v>
      </c>
      <c r="E4" s="1" t="s">
        <v>51</v>
      </c>
      <c r="F4" s="79" t="s">
        <v>49</v>
      </c>
      <c r="H4" s="80" t="s">
        <v>51</v>
      </c>
      <c r="I4" s="1" t="s">
        <v>49</v>
      </c>
      <c r="J4" s="1" t="s">
        <v>51</v>
      </c>
      <c r="K4" s="1" t="s">
        <v>49</v>
      </c>
      <c r="L4" s="1" t="s">
        <v>51</v>
      </c>
      <c r="M4" s="79" t="s">
        <v>49</v>
      </c>
      <c r="N4" s="78" t="s">
        <v>51</v>
      </c>
      <c r="O4" s="1" t="s">
        <v>49</v>
      </c>
      <c r="P4" s="1" t="s">
        <v>51</v>
      </c>
      <c r="Q4" s="1" t="s">
        <v>49</v>
      </c>
      <c r="R4" s="1" t="s">
        <v>51</v>
      </c>
      <c r="S4" s="1" t="s">
        <v>49</v>
      </c>
      <c r="T4" s="80" t="s">
        <v>51</v>
      </c>
      <c r="U4" s="1" t="s">
        <v>49</v>
      </c>
      <c r="V4" s="1" t="s">
        <v>51</v>
      </c>
      <c r="W4" s="1" t="s">
        <v>49</v>
      </c>
      <c r="X4" s="1" t="s">
        <v>51</v>
      </c>
      <c r="Y4" s="79" t="s">
        <v>49</v>
      </c>
      <c r="Z4" s="78" t="s">
        <v>51</v>
      </c>
      <c r="AA4" s="1" t="s">
        <v>49</v>
      </c>
      <c r="AB4" s="1" t="s">
        <v>51</v>
      </c>
      <c r="AC4" s="1" t="s">
        <v>49</v>
      </c>
      <c r="AD4" s="1" t="s">
        <v>51</v>
      </c>
      <c r="AE4" s="1" t="s">
        <v>49</v>
      </c>
      <c r="AG4" s="80" t="s">
        <v>51</v>
      </c>
      <c r="AH4" s="1" t="s">
        <v>49</v>
      </c>
      <c r="AI4" s="1" t="s">
        <v>51</v>
      </c>
      <c r="AJ4" s="1" t="s">
        <v>49</v>
      </c>
      <c r="AK4" s="1" t="s">
        <v>51</v>
      </c>
      <c r="AL4" s="79" t="s">
        <v>49</v>
      </c>
    </row>
    <row r="5" spans="1:38" x14ac:dyDescent="0.2">
      <c r="A5" s="81">
        <v>9.9995000000000001E-2</v>
      </c>
      <c r="B5">
        <v>821.64400000000001</v>
      </c>
      <c r="C5">
        <v>0.100005</v>
      </c>
      <c r="D5">
        <v>866.67700000000002</v>
      </c>
      <c r="E5">
        <v>0.10000199999999999</v>
      </c>
      <c r="F5" s="9">
        <v>434.29300000000001</v>
      </c>
      <c r="H5" s="21">
        <v>9.9993200000000004E-2</v>
      </c>
      <c r="I5">
        <v>433.2</v>
      </c>
      <c r="J5">
        <v>0.100004</v>
      </c>
      <c r="K5">
        <v>703.75199999999995</v>
      </c>
      <c r="L5">
        <v>9.9995700000000007E-2</v>
      </c>
      <c r="M5" s="9">
        <v>563.10900000000004</v>
      </c>
      <c r="N5">
        <v>0.1</v>
      </c>
      <c r="O5">
        <v>483.37799999999999</v>
      </c>
      <c r="P5">
        <v>0.10000299999999999</v>
      </c>
      <c r="Q5">
        <v>249.654</v>
      </c>
      <c r="R5">
        <v>0.100011</v>
      </c>
      <c r="S5">
        <v>979.23299999999995</v>
      </c>
      <c r="T5" s="21">
        <v>9.9997299999999997E-2</v>
      </c>
      <c r="U5">
        <v>1579.9</v>
      </c>
      <c r="V5">
        <v>0.10012799999999999</v>
      </c>
      <c r="W5">
        <v>3405.01</v>
      </c>
      <c r="X5">
        <v>9.9960599999999997E-2</v>
      </c>
      <c r="Y5" s="9">
        <v>4591.05</v>
      </c>
      <c r="Z5">
        <v>9.9997699999999995E-2</v>
      </c>
      <c r="AA5">
        <v>917.96400000000006</v>
      </c>
      <c r="AB5">
        <v>0.10000199999999999</v>
      </c>
      <c r="AC5">
        <v>924.64400000000001</v>
      </c>
      <c r="AD5">
        <v>0.100012</v>
      </c>
      <c r="AE5">
        <v>1956.73</v>
      </c>
      <c r="AG5" s="21">
        <v>9.9997900000000001E-2</v>
      </c>
      <c r="AH5">
        <v>2380.21</v>
      </c>
      <c r="AI5">
        <v>0.1</v>
      </c>
      <c r="AJ5">
        <v>3495.5</v>
      </c>
      <c r="AK5">
        <v>9.9996500000000002E-2</v>
      </c>
      <c r="AL5" s="9">
        <v>2021</v>
      </c>
    </row>
    <row r="6" spans="1:38" x14ac:dyDescent="0.2">
      <c r="A6" s="81">
        <v>0.12590000000000001</v>
      </c>
      <c r="B6">
        <v>622.69100000000003</v>
      </c>
      <c r="C6">
        <v>0.125888</v>
      </c>
      <c r="D6">
        <v>575.91999999999996</v>
      </c>
      <c r="E6">
        <v>0.125886</v>
      </c>
      <c r="F6" s="9">
        <v>280.68299999999999</v>
      </c>
      <c r="H6" s="21">
        <v>0.125893</v>
      </c>
      <c r="I6">
        <v>341.38299999999998</v>
      </c>
      <c r="J6">
        <v>0.125893</v>
      </c>
      <c r="K6">
        <v>447.39100000000002</v>
      </c>
      <c r="L6">
        <v>0.12590299999999999</v>
      </c>
      <c r="M6" s="9">
        <v>383.608</v>
      </c>
      <c r="N6">
        <v>0.12589500000000001</v>
      </c>
      <c r="O6">
        <v>323.24299999999999</v>
      </c>
      <c r="P6">
        <v>0.125893</v>
      </c>
      <c r="Q6">
        <v>170.12299999999999</v>
      </c>
      <c r="R6">
        <v>0.12588299999999999</v>
      </c>
      <c r="S6">
        <v>660.32500000000005</v>
      </c>
      <c r="T6" s="21">
        <v>0.12590599999999999</v>
      </c>
      <c r="U6">
        <v>977.06899999999996</v>
      </c>
      <c r="V6">
        <v>0.125864</v>
      </c>
      <c r="W6">
        <v>2056.5700000000002</v>
      </c>
      <c r="X6">
        <v>0.12578</v>
      </c>
      <c r="Y6" s="9">
        <v>3160.54</v>
      </c>
      <c r="Z6">
        <v>0.12590100000000001</v>
      </c>
      <c r="AA6">
        <v>624.274</v>
      </c>
      <c r="AB6">
        <v>0.125886</v>
      </c>
      <c r="AC6">
        <v>608.85299999999995</v>
      </c>
      <c r="AD6">
        <v>0.12589400000000001</v>
      </c>
      <c r="AE6">
        <v>1200.49</v>
      </c>
      <c r="AG6" s="21">
        <v>0.12589</v>
      </c>
      <c r="AH6">
        <v>1513.3</v>
      </c>
      <c r="AI6">
        <v>0.125889</v>
      </c>
      <c r="AJ6">
        <v>2109.0100000000002</v>
      </c>
      <c r="AK6">
        <v>0.12589900000000001</v>
      </c>
      <c r="AL6" s="9">
        <v>1280.71</v>
      </c>
    </row>
    <row r="7" spans="1:38" x14ac:dyDescent="0.2">
      <c r="A7" s="81">
        <v>0.15848799999999999</v>
      </c>
      <c r="B7">
        <v>437.49799999999999</v>
      </c>
      <c r="C7">
        <v>0.15848699999999999</v>
      </c>
      <c r="D7">
        <v>431.66</v>
      </c>
      <c r="E7">
        <v>0.15848799999999999</v>
      </c>
      <c r="F7" s="9">
        <v>212.35599999999999</v>
      </c>
      <c r="H7" s="21">
        <v>0.15849199999999999</v>
      </c>
      <c r="I7">
        <v>287.92500000000001</v>
      </c>
      <c r="J7">
        <v>0.15848300000000001</v>
      </c>
      <c r="K7">
        <v>331.90899999999999</v>
      </c>
      <c r="L7">
        <v>0.15848499999999999</v>
      </c>
      <c r="M7" s="9">
        <v>233.285</v>
      </c>
      <c r="N7">
        <v>0.15849099999999999</v>
      </c>
      <c r="O7">
        <v>224.31399999999999</v>
      </c>
      <c r="P7">
        <v>0.15848999999999999</v>
      </c>
      <c r="Q7">
        <v>125.883</v>
      </c>
      <c r="R7">
        <v>0.15849299999999999</v>
      </c>
      <c r="S7">
        <v>570.00199999999995</v>
      </c>
      <c r="T7" s="21">
        <v>0.15848699999999999</v>
      </c>
      <c r="U7">
        <v>678.58799999999997</v>
      </c>
      <c r="V7">
        <v>0.15848300000000001</v>
      </c>
      <c r="W7">
        <v>1481.31</v>
      </c>
      <c r="X7">
        <v>0.15845600000000001</v>
      </c>
      <c r="Y7" s="9">
        <v>2231.16</v>
      </c>
      <c r="Z7">
        <v>0.15848899999999999</v>
      </c>
      <c r="AA7">
        <v>469.13299999999998</v>
      </c>
      <c r="AB7">
        <v>0.15848400000000001</v>
      </c>
      <c r="AC7">
        <v>433.74700000000001</v>
      </c>
      <c r="AD7">
        <v>0.158494</v>
      </c>
      <c r="AE7">
        <v>910.26499999999999</v>
      </c>
      <c r="AG7" s="21">
        <v>0.15849099999999999</v>
      </c>
      <c r="AH7">
        <v>1105.19</v>
      </c>
      <c r="AI7">
        <v>0.15848799999999999</v>
      </c>
      <c r="AJ7">
        <v>1450.08</v>
      </c>
      <c r="AK7">
        <v>0.15848999999999999</v>
      </c>
      <c r="AL7" s="9">
        <v>901.31500000000005</v>
      </c>
    </row>
    <row r="8" spans="1:38" x14ac:dyDescent="0.2">
      <c r="A8" s="81">
        <v>0.19952300000000001</v>
      </c>
      <c r="B8">
        <v>322.327</v>
      </c>
      <c r="C8">
        <v>0.19952700000000001</v>
      </c>
      <c r="D8">
        <v>332.74700000000001</v>
      </c>
      <c r="E8">
        <v>0.199522</v>
      </c>
      <c r="F8" s="9">
        <v>155.12799999999999</v>
      </c>
      <c r="H8" s="21">
        <v>0.19952400000000001</v>
      </c>
      <c r="I8">
        <v>239.42</v>
      </c>
      <c r="J8">
        <v>0.19953299999999999</v>
      </c>
      <c r="K8">
        <v>249.64699999999999</v>
      </c>
      <c r="L8">
        <v>0.199519</v>
      </c>
      <c r="M8" s="9">
        <v>188.239</v>
      </c>
      <c r="N8">
        <v>0.19953000000000001</v>
      </c>
      <c r="O8">
        <v>147.244</v>
      </c>
      <c r="P8">
        <v>0.19952400000000001</v>
      </c>
      <c r="Q8">
        <v>93.820800000000006</v>
      </c>
      <c r="R8">
        <v>0.19952</v>
      </c>
      <c r="S8">
        <v>418.62799999999999</v>
      </c>
      <c r="T8" s="21">
        <v>0.199516</v>
      </c>
      <c r="U8">
        <v>463.346</v>
      </c>
      <c r="V8">
        <v>0.19953599999999999</v>
      </c>
      <c r="W8">
        <v>1066.8599999999999</v>
      </c>
      <c r="X8">
        <v>0.199515</v>
      </c>
      <c r="Y8" s="9">
        <v>1516</v>
      </c>
      <c r="Z8">
        <v>0.19953499999999999</v>
      </c>
      <c r="AA8">
        <v>345.20499999999998</v>
      </c>
      <c r="AB8">
        <v>0.19953899999999999</v>
      </c>
      <c r="AC8">
        <v>304.76799999999997</v>
      </c>
      <c r="AD8">
        <v>0.19952800000000001</v>
      </c>
      <c r="AE8">
        <v>639.61900000000003</v>
      </c>
      <c r="AG8" s="21">
        <v>0.19952700000000001</v>
      </c>
      <c r="AH8">
        <v>842.38099999999997</v>
      </c>
      <c r="AI8">
        <v>0.19952800000000001</v>
      </c>
      <c r="AJ8">
        <v>1021.54</v>
      </c>
      <c r="AK8">
        <v>0.19953399999999999</v>
      </c>
      <c r="AL8" s="9">
        <v>631.07799999999997</v>
      </c>
    </row>
    <row r="9" spans="1:38" x14ac:dyDescent="0.2">
      <c r="A9" s="81">
        <v>0.25119000000000002</v>
      </c>
      <c r="B9">
        <v>265.72199999999998</v>
      </c>
      <c r="C9">
        <v>0.25118800000000002</v>
      </c>
      <c r="D9">
        <v>258.41500000000002</v>
      </c>
      <c r="E9">
        <v>0.25118499999999999</v>
      </c>
      <c r="F9" s="9">
        <v>117.197</v>
      </c>
      <c r="H9" s="21">
        <v>0.25118800000000002</v>
      </c>
      <c r="I9">
        <v>193.709</v>
      </c>
      <c r="J9">
        <v>0.25118800000000002</v>
      </c>
      <c r="K9">
        <v>195.27199999999999</v>
      </c>
      <c r="L9">
        <v>0.25119399999999997</v>
      </c>
      <c r="M9" s="9">
        <v>152.541</v>
      </c>
      <c r="N9">
        <v>0.25119200000000003</v>
      </c>
      <c r="O9">
        <v>104.167</v>
      </c>
      <c r="P9">
        <v>0.251193</v>
      </c>
      <c r="Q9">
        <v>79.026200000000003</v>
      </c>
      <c r="R9">
        <v>0.25118499999999999</v>
      </c>
      <c r="S9">
        <v>277.23200000000003</v>
      </c>
      <c r="T9" s="21">
        <v>0.25119200000000003</v>
      </c>
      <c r="U9">
        <v>318.59300000000002</v>
      </c>
      <c r="V9">
        <v>0.251191</v>
      </c>
      <c r="W9">
        <v>789.51400000000001</v>
      </c>
      <c r="X9">
        <v>0.25119799999999998</v>
      </c>
      <c r="Y9" s="9">
        <v>996.33600000000001</v>
      </c>
      <c r="Z9">
        <v>0.251193</v>
      </c>
      <c r="AA9">
        <v>271.48399999999998</v>
      </c>
      <c r="AB9">
        <v>0.25118000000000001</v>
      </c>
      <c r="AC9">
        <v>217.17</v>
      </c>
      <c r="AD9">
        <v>0.25119799999999998</v>
      </c>
      <c r="AE9">
        <v>508.60599999999999</v>
      </c>
      <c r="AG9" s="21">
        <v>0.25118600000000002</v>
      </c>
      <c r="AH9">
        <v>662.529</v>
      </c>
      <c r="AI9">
        <v>0.25118800000000002</v>
      </c>
      <c r="AJ9">
        <v>772.10900000000004</v>
      </c>
      <c r="AK9">
        <v>0.25119999999999998</v>
      </c>
      <c r="AL9" s="9">
        <v>486.06</v>
      </c>
    </row>
    <row r="10" spans="1:38" x14ac:dyDescent="0.2">
      <c r="A10" s="81">
        <v>0.31623200000000001</v>
      </c>
      <c r="B10">
        <v>202.459</v>
      </c>
      <c r="C10">
        <v>0.31622400000000001</v>
      </c>
      <c r="D10">
        <v>206.09399999999999</v>
      </c>
      <c r="E10">
        <v>0.316222</v>
      </c>
      <c r="F10" s="9">
        <v>96.608199999999997</v>
      </c>
      <c r="H10" s="21">
        <v>0.31622</v>
      </c>
      <c r="I10">
        <v>150.238</v>
      </c>
      <c r="J10">
        <v>0.31622600000000001</v>
      </c>
      <c r="K10">
        <v>152.49</v>
      </c>
      <c r="L10">
        <v>0.31622800000000001</v>
      </c>
      <c r="M10" s="9">
        <v>99.6982</v>
      </c>
      <c r="N10">
        <v>0.31623299999999999</v>
      </c>
      <c r="O10">
        <v>75.991100000000003</v>
      </c>
      <c r="P10">
        <v>0.31623000000000001</v>
      </c>
      <c r="Q10">
        <v>68.858800000000002</v>
      </c>
      <c r="R10">
        <v>0.31623200000000001</v>
      </c>
      <c r="S10">
        <v>179.02500000000001</v>
      </c>
      <c r="T10" s="21">
        <v>0.31622800000000001</v>
      </c>
      <c r="U10">
        <v>231.68799999999999</v>
      </c>
      <c r="V10">
        <v>0.31623299999999999</v>
      </c>
      <c r="W10">
        <v>562.31399999999996</v>
      </c>
      <c r="X10">
        <v>0.31622600000000001</v>
      </c>
      <c r="Y10" s="9">
        <v>722.99</v>
      </c>
      <c r="Z10">
        <v>0.316214</v>
      </c>
      <c r="AA10">
        <v>243.102</v>
      </c>
      <c r="AB10">
        <v>0.31620700000000002</v>
      </c>
      <c r="AC10">
        <v>176.57599999999999</v>
      </c>
      <c r="AD10">
        <v>0.31624000000000002</v>
      </c>
      <c r="AE10">
        <v>372.346</v>
      </c>
      <c r="AG10" s="21">
        <v>0.31623800000000002</v>
      </c>
      <c r="AH10">
        <v>499.01299999999998</v>
      </c>
      <c r="AI10">
        <v>0.31622600000000001</v>
      </c>
      <c r="AJ10">
        <v>550.07600000000002</v>
      </c>
      <c r="AK10">
        <v>0.31624799999999997</v>
      </c>
      <c r="AL10" s="9">
        <v>385.42500000000001</v>
      </c>
    </row>
    <row r="11" spans="1:38" x14ac:dyDescent="0.2">
      <c r="A11" s="81">
        <v>0.39811299999999999</v>
      </c>
      <c r="B11">
        <v>156.24100000000001</v>
      </c>
      <c r="C11">
        <v>0.39810299999999998</v>
      </c>
      <c r="D11">
        <v>158.94999999999999</v>
      </c>
      <c r="E11">
        <v>0.39811600000000003</v>
      </c>
      <c r="F11" s="9">
        <v>79.588999999999999</v>
      </c>
      <c r="H11" s="21">
        <v>0.39811200000000002</v>
      </c>
      <c r="I11">
        <v>117.129</v>
      </c>
      <c r="J11">
        <v>0.39810899999999999</v>
      </c>
      <c r="K11">
        <v>119.075</v>
      </c>
      <c r="L11">
        <v>0.39812199999999998</v>
      </c>
      <c r="M11" s="9">
        <v>67.263800000000003</v>
      </c>
      <c r="N11">
        <v>0.398086</v>
      </c>
      <c r="O11">
        <v>62.472299999999997</v>
      </c>
      <c r="P11">
        <v>0.39812399999999998</v>
      </c>
      <c r="Q11">
        <v>48.3964</v>
      </c>
      <c r="R11">
        <v>0.39808399999999999</v>
      </c>
      <c r="S11">
        <v>134.80000000000001</v>
      </c>
      <c r="T11" s="21">
        <v>0.39812599999999998</v>
      </c>
      <c r="U11">
        <v>191.858</v>
      </c>
      <c r="V11">
        <v>0.39810899999999999</v>
      </c>
      <c r="W11">
        <v>427.43200000000002</v>
      </c>
      <c r="X11">
        <v>0.39808700000000002</v>
      </c>
      <c r="Y11" s="9">
        <v>625.19200000000001</v>
      </c>
      <c r="Z11">
        <v>0.39811999999999997</v>
      </c>
      <c r="AA11">
        <v>183.94</v>
      </c>
      <c r="AB11">
        <v>0.39809800000000001</v>
      </c>
      <c r="AC11">
        <v>128.92599999999999</v>
      </c>
      <c r="AD11">
        <v>0.39812199999999998</v>
      </c>
      <c r="AE11">
        <v>261.90800000000002</v>
      </c>
      <c r="AG11" s="21">
        <v>0.398123</v>
      </c>
      <c r="AH11">
        <v>360.92599999999999</v>
      </c>
      <c r="AI11">
        <v>0.39810899999999999</v>
      </c>
      <c r="AJ11">
        <v>352.65100000000001</v>
      </c>
      <c r="AK11">
        <v>0.39809299999999997</v>
      </c>
      <c r="AL11" s="9">
        <v>274.286</v>
      </c>
    </row>
    <row r="12" spans="1:38" x14ac:dyDescent="0.2">
      <c r="A12" s="81">
        <v>0.50120100000000001</v>
      </c>
      <c r="B12">
        <v>115.837</v>
      </c>
      <c r="C12">
        <v>0.50118300000000005</v>
      </c>
      <c r="D12">
        <v>122.657</v>
      </c>
      <c r="E12">
        <v>0.50118600000000002</v>
      </c>
      <c r="F12" s="9">
        <v>59.093600000000002</v>
      </c>
      <c r="H12" s="21">
        <v>0.50116000000000005</v>
      </c>
      <c r="I12">
        <v>94.8489</v>
      </c>
      <c r="J12">
        <v>0.50117100000000003</v>
      </c>
      <c r="K12">
        <v>94.362799999999993</v>
      </c>
      <c r="L12">
        <v>0.50114199999999998</v>
      </c>
      <c r="M12" s="9">
        <v>50.981400000000001</v>
      </c>
      <c r="N12">
        <v>0.50121400000000005</v>
      </c>
      <c r="O12">
        <v>45.705500000000001</v>
      </c>
      <c r="P12">
        <v>0.501189</v>
      </c>
      <c r="Q12">
        <v>35.446100000000001</v>
      </c>
      <c r="R12">
        <v>0.50119000000000002</v>
      </c>
      <c r="S12">
        <v>113.97799999999999</v>
      </c>
      <c r="T12" s="21">
        <v>0.50122599999999995</v>
      </c>
      <c r="U12">
        <v>132.68600000000001</v>
      </c>
      <c r="V12">
        <v>0.50117699999999998</v>
      </c>
      <c r="W12">
        <v>338.04500000000002</v>
      </c>
      <c r="X12">
        <v>0.50120100000000001</v>
      </c>
      <c r="Y12" s="9">
        <v>471.24900000000002</v>
      </c>
      <c r="Z12">
        <v>0.50118499999999999</v>
      </c>
      <c r="AA12">
        <v>130.77799999999999</v>
      </c>
      <c r="AB12">
        <v>0.50116099999999997</v>
      </c>
      <c r="AC12">
        <v>99.532899999999998</v>
      </c>
      <c r="AD12">
        <v>0.50121300000000002</v>
      </c>
      <c r="AE12">
        <v>199.608</v>
      </c>
      <c r="AG12" s="21">
        <v>0.50118799999999997</v>
      </c>
      <c r="AH12">
        <v>261.86599999999999</v>
      </c>
      <c r="AI12">
        <v>0.501166</v>
      </c>
      <c r="AJ12">
        <v>254.08799999999999</v>
      </c>
      <c r="AK12">
        <v>0.50112999999999996</v>
      </c>
      <c r="AL12" s="9">
        <v>190.96700000000001</v>
      </c>
    </row>
    <row r="13" spans="1:38" x14ac:dyDescent="0.2">
      <c r="A13" s="81">
        <v>0.63094300000000003</v>
      </c>
      <c r="B13">
        <v>90.802000000000007</v>
      </c>
      <c r="C13">
        <v>0.63097199999999998</v>
      </c>
      <c r="D13">
        <v>99.9649</v>
      </c>
      <c r="E13">
        <v>0.63092700000000002</v>
      </c>
      <c r="F13" s="9">
        <v>48.771700000000003</v>
      </c>
      <c r="H13" s="21">
        <v>0.63096099999999999</v>
      </c>
      <c r="I13">
        <v>73.689800000000005</v>
      </c>
      <c r="J13">
        <v>0.63095000000000001</v>
      </c>
      <c r="K13">
        <v>75.251900000000006</v>
      </c>
      <c r="L13">
        <v>0.63094700000000004</v>
      </c>
      <c r="M13" s="9">
        <v>38.726399999999998</v>
      </c>
      <c r="N13">
        <v>0.63095199999999996</v>
      </c>
      <c r="O13">
        <v>30.759799999999998</v>
      </c>
      <c r="P13">
        <v>0.63098299999999996</v>
      </c>
      <c r="Q13">
        <v>33.5336</v>
      </c>
      <c r="R13">
        <v>0.63093600000000005</v>
      </c>
      <c r="S13">
        <v>76.385400000000004</v>
      </c>
      <c r="T13" s="21">
        <v>0.63093900000000003</v>
      </c>
      <c r="U13">
        <v>97.766900000000007</v>
      </c>
      <c r="V13">
        <v>0.63095900000000005</v>
      </c>
      <c r="W13">
        <v>244.59100000000001</v>
      </c>
      <c r="X13">
        <v>0.63097000000000003</v>
      </c>
      <c r="Y13" s="9">
        <v>317.596</v>
      </c>
      <c r="Z13">
        <v>0.63093699999999997</v>
      </c>
      <c r="AA13">
        <v>112.729</v>
      </c>
      <c r="AB13">
        <v>0.63090900000000005</v>
      </c>
      <c r="AC13">
        <v>77.0578</v>
      </c>
      <c r="AD13">
        <v>0.63099499999999997</v>
      </c>
      <c r="AE13">
        <v>152.36699999999999</v>
      </c>
      <c r="AG13" s="21">
        <v>0.63096099999999999</v>
      </c>
      <c r="AH13">
        <v>208.411</v>
      </c>
      <c r="AI13">
        <v>0.63093399999999999</v>
      </c>
      <c r="AJ13">
        <v>194.566</v>
      </c>
      <c r="AK13">
        <v>0.63094600000000001</v>
      </c>
      <c r="AL13" s="9">
        <v>155.97499999999999</v>
      </c>
    </row>
    <row r="14" spans="1:38" x14ac:dyDescent="0.2">
      <c r="A14" s="81">
        <v>0.79431799999999997</v>
      </c>
      <c r="B14">
        <v>68.98</v>
      </c>
      <c r="C14">
        <v>0.79432999999999998</v>
      </c>
      <c r="D14">
        <v>78.728099999999998</v>
      </c>
      <c r="E14">
        <v>0.79431799999999997</v>
      </c>
      <c r="F14" s="9">
        <v>39.089700000000001</v>
      </c>
      <c r="H14" s="21">
        <v>0.79433500000000001</v>
      </c>
      <c r="I14">
        <v>58.148600000000002</v>
      </c>
      <c r="J14">
        <v>0.79430699999999999</v>
      </c>
      <c r="K14">
        <v>60.241799999999998</v>
      </c>
      <c r="L14">
        <v>0.79432400000000003</v>
      </c>
      <c r="M14" s="9">
        <v>26.273299999999999</v>
      </c>
      <c r="N14">
        <v>0.79434499999999997</v>
      </c>
      <c r="O14">
        <v>26.999500000000001</v>
      </c>
      <c r="P14">
        <v>0.79432199999999997</v>
      </c>
      <c r="Q14">
        <v>22.611699999999999</v>
      </c>
      <c r="R14">
        <v>0.79435199999999995</v>
      </c>
      <c r="S14">
        <v>67.726900000000001</v>
      </c>
      <c r="T14" s="21">
        <v>0.79433900000000002</v>
      </c>
      <c r="U14">
        <v>77.958799999999997</v>
      </c>
      <c r="V14">
        <v>0.79432000000000003</v>
      </c>
      <c r="W14">
        <v>197.69</v>
      </c>
      <c r="X14">
        <v>0.794269</v>
      </c>
      <c r="Y14" s="9">
        <v>263.02699999999999</v>
      </c>
      <c r="Z14">
        <v>0.79430000000000001</v>
      </c>
      <c r="AA14">
        <v>82.7971</v>
      </c>
      <c r="AB14">
        <v>0.79432100000000005</v>
      </c>
      <c r="AC14">
        <v>60.962299999999999</v>
      </c>
      <c r="AD14">
        <v>0.79436099999999998</v>
      </c>
      <c r="AE14">
        <v>109.047</v>
      </c>
      <c r="AG14" s="21">
        <v>0.79430800000000001</v>
      </c>
      <c r="AH14">
        <v>149.816</v>
      </c>
      <c r="AI14">
        <v>0.79430900000000004</v>
      </c>
      <c r="AJ14">
        <v>132.768</v>
      </c>
      <c r="AK14">
        <v>0.79426200000000002</v>
      </c>
      <c r="AL14" s="9">
        <v>110.76300000000001</v>
      </c>
    </row>
    <row r="15" spans="1:38" x14ac:dyDescent="0.2">
      <c r="A15" s="81">
        <v>1.00007</v>
      </c>
      <c r="B15">
        <v>54.405099999999997</v>
      </c>
      <c r="C15">
        <v>1.00003</v>
      </c>
      <c r="D15">
        <v>64.9739</v>
      </c>
      <c r="E15">
        <v>1.0000100000000001</v>
      </c>
      <c r="F15" s="9">
        <v>32.679400000000001</v>
      </c>
      <c r="H15" s="21">
        <v>1.00003</v>
      </c>
      <c r="I15">
        <v>46.163499999999999</v>
      </c>
      <c r="J15">
        <v>1.0000199999999999</v>
      </c>
      <c r="K15">
        <v>48.234499999999997</v>
      </c>
      <c r="L15">
        <v>1.00004</v>
      </c>
      <c r="M15" s="9">
        <v>21.378599999999999</v>
      </c>
      <c r="N15">
        <v>1</v>
      </c>
      <c r="O15">
        <v>19.515699999999999</v>
      </c>
      <c r="P15">
        <v>1.0000899999999999</v>
      </c>
      <c r="Q15">
        <v>20.297000000000001</v>
      </c>
      <c r="R15">
        <v>1.0000199999999999</v>
      </c>
      <c r="S15">
        <v>49.6526</v>
      </c>
      <c r="T15" s="21">
        <v>0.99991600000000003</v>
      </c>
      <c r="U15">
        <v>59.988500000000002</v>
      </c>
      <c r="V15">
        <v>1.00007</v>
      </c>
      <c r="W15">
        <v>148.821</v>
      </c>
      <c r="X15">
        <v>0.999969</v>
      </c>
      <c r="Y15" s="9">
        <v>194.5</v>
      </c>
      <c r="Z15">
        <v>0.99999000000000005</v>
      </c>
      <c r="AA15">
        <v>68.37</v>
      </c>
      <c r="AB15">
        <v>0.99989300000000003</v>
      </c>
      <c r="AC15">
        <v>48.307400000000001</v>
      </c>
      <c r="AD15">
        <v>0.99999099999999996</v>
      </c>
      <c r="AE15">
        <v>81.452699999999993</v>
      </c>
      <c r="AG15" s="21">
        <v>1.0000199999999999</v>
      </c>
      <c r="AH15">
        <v>118.45699999999999</v>
      </c>
      <c r="AI15">
        <v>0.99994799999999995</v>
      </c>
      <c r="AJ15">
        <v>101.038</v>
      </c>
      <c r="AK15">
        <v>0.99985500000000005</v>
      </c>
      <c r="AL15" s="9">
        <v>89.218199999999996</v>
      </c>
    </row>
    <row r="16" spans="1:38" x14ac:dyDescent="0.2">
      <c r="A16" s="81">
        <v>1.2589699999999999</v>
      </c>
      <c r="B16">
        <v>41.977899999999998</v>
      </c>
      <c r="C16">
        <v>1.2589999999999999</v>
      </c>
      <c r="D16">
        <v>53.044199999999996</v>
      </c>
      <c r="E16">
        <v>1.2589600000000001</v>
      </c>
      <c r="F16" s="9">
        <v>26.527200000000001</v>
      </c>
      <c r="H16" s="21">
        <v>1.2588600000000001</v>
      </c>
      <c r="I16">
        <v>36.854300000000002</v>
      </c>
      <c r="J16">
        <v>1.25895</v>
      </c>
      <c r="K16">
        <v>38.299700000000001</v>
      </c>
      <c r="L16">
        <v>1.25902</v>
      </c>
      <c r="M16" s="9">
        <v>15.9129</v>
      </c>
      <c r="N16">
        <v>1.2588999999999999</v>
      </c>
      <c r="O16">
        <v>14.808999999999999</v>
      </c>
      <c r="P16">
        <v>1.2589699999999999</v>
      </c>
      <c r="Q16">
        <v>15.723699999999999</v>
      </c>
      <c r="R16">
        <v>1.2588299999999999</v>
      </c>
      <c r="S16">
        <v>38.9514</v>
      </c>
      <c r="T16" s="21">
        <v>1.2589399999999999</v>
      </c>
      <c r="U16">
        <v>45.435600000000001</v>
      </c>
      <c r="V16">
        <v>1.2586299999999999</v>
      </c>
      <c r="W16">
        <v>117.057</v>
      </c>
      <c r="X16">
        <v>1.2588699999999999</v>
      </c>
      <c r="Y16" s="9">
        <v>155.95099999999999</v>
      </c>
      <c r="Z16">
        <v>1.2589900000000001</v>
      </c>
      <c r="AA16">
        <v>53.017400000000002</v>
      </c>
      <c r="AB16">
        <v>1.2589600000000001</v>
      </c>
      <c r="AC16">
        <v>37.652299999999997</v>
      </c>
      <c r="AD16">
        <v>1.2589699999999999</v>
      </c>
      <c r="AE16">
        <v>59.928100000000001</v>
      </c>
      <c r="AG16" s="21">
        <v>1.2589699999999999</v>
      </c>
      <c r="AH16">
        <v>92.2971</v>
      </c>
      <c r="AI16">
        <v>1.25891</v>
      </c>
      <c r="AJ16">
        <v>75.769199999999998</v>
      </c>
      <c r="AK16">
        <v>1.2591399999999999</v>
      </c>
      <c r="AL16" s="9">
        <v>68.004000000000005</v>
      </c>
    </row>
    <row r="17" spans="1:38" x14ac:dyDescent="0.2">
      <c r="A17" s="81">
        <v>1.5848100000000001</v>
      </c>
      <c r="B17">
        <v>32.687600000000003</v>
      </c>
      <c r="C17">
        <v>1.5848800000000001</v>
      </c>
      <c r="D17">
        <v>43.879899999999999</v>
      </c>
      <c r="E17">
        <v>1.5848199999999999</v>
      </c>
      <c r="F17" s="9">
        <v>22.105399999999999</v>
      </c>
      <c r="H17" s="21">
        <v>1.58483</v>
      </c>
      <c r="I17">
        <v>29.4161</v>
      </c>
      <c r="J17">
        <v>1.5848899999999999</v>
      </c>
      <c r="K17">
        <v>30.589600000000001</v>
      </c>
      <c r="L17">
        <v>1.5848800000000001</v>
      </c>
      <c r="M17" s="9">
        <v>12.1264</v>
      </c>
      <c r="N17">
        <v>1.58487</v>
      </c>
      <c r="O17">
        <v>11.9681</v>
      </c>
      <c r="P17">
        <v>1.5849500000000001</v>
      </c>
      <c r="Q17">
        <v>12.8263</v>
      </c>
      <c r="R17">
        <v>1.58483</v>
      </c>
      <c r="S17">
        <v>31.898</v>
      </c>
      <c r="T17" s="21">
        <v>1.58494</v>
      </c>
      <c r="U17">
        <v>35.977400000000003</v>
      </c>
      <c r="V17">
        <v>1.58483</v>
      </c>
      <c r="W17">
        <v>92.558800000000005</v>
      </c>
      <c r="X17">
        <v>1.5847899999999999</v>
      </c>
      <c r="Y17" s="9">
        <v>127.842</v>
      </c>
      <c r="Z17">
        <v>1.5848500000000001</v>
      </c>
      <c r="AA17">
        <v>43.001100000000001</v>
      </c>
      <c r="AB17">
        <v>1.5849500000000001</v>
      </c>
      <c r="AC17">
        <v>30.0715</v>
      </c>
      <c r="AD17">
        <v>1.5849899999999999</v>
      </c>
      <c r="AE17">
        <v>46.247500000000002</v>
      </c>
      <c r="AG17" s="21">
        <v>1.5848899999999999</v>
      </c>
      <c r="AH17">
        <v>73.090299999999999</v>
      </c>
      <c r="AI17">
        <v>1.58483</v>
      </c>
      <c r="AJ17">
        <v>57.183199999999999</v>
      </c>
      <c r="AK17">
        <v>1.58487</v>
      </c>
      <c r="AL17" s="9">
        <v>53.349400000000003</v>
      </c>
    </row>
    <row r="18" spans="1:38" x14ac:dyDescent="0.2">
      <c r="A18" s="81">
        <v>1.99525</v>
      </c>
      <c r="B18">
        <v>25.994800000000001</v>
      </c>
      <c r="C18">
        <v>1.9952099999999999</v>
      </c>
      <c r="D18">
        <v>36.802700000000002</v>
      </c>
      <c r="E18">
        <v>1.9952300000000001</v>
      </c>
      <c r="F18" s="9">
        <v>18.425899999999999</v>
      </c>
      <c r="H18" s="21">
        <v>1.99518</v>
      </c>
      <c r="I18">
        <v>23.642299999999999</v>
      </c>
      <c r="J18">
        <v>1.9952399999999999</v>
      </c>
      <c r="K18">
        <v>24.1511</v>
      </c>
      <c r="L18">
        <v>1.99529</v>
      </c>
      <c r="M18" s="9">
        <v>9.5214700000000008</v>
      </c>
      <c r="N18">
        <v>1.99535</v>
      </c>
      <c r="O18">
        <v>9.1544100000000004</v>
      </c>
      <c r="P18">
        <v>1.99526</v>
      </c>
      <c r="Q18">
        <v>10.6418</v>
      </c>
      <c r="R18">
        <v>1.9952799999999999</v>
      </c>
      <c r="S18">
        <v>24.978300000000001</v>
      </c>
      <c r="T18" s="21">
        <v>1.99526</v>
      </c>
      <c r="U18">
        <v>27.8748</v>
      </c>
      <c r="V18">
        <v>1.99518</v>
      </c>
      <c r="W18">
        <v>72.594499999999996</v>
      </c>
      <c r="X18">
        <v>1.99536</v>
      </c>
      <c r="Y18" s="9">
        <v>101.503</v>
      </c>
      <c r="Z18">
        <v>1.99536</v>
      </c>
      <c r="AA18">
        <v>36.033499999999997</v>
      </c>
      <c r="AB18">
        <v>1.99512</v>
      </c>
      <c r="AC18">
        <v>23.896999999999998</v>
      </c>
      <c r="AD18">
        <v>1.99539</v>
      </c>
      <c r="AE18">
        <v>36.472799999999999</v>
      </c>
      <c r="AG18" s="21">
        <v>1.9952300000000001</v>
      </c>
      <c r="AH18">
        <v>60.561500000000002</v>
      </c>
      <c r="AI18">
        <v>1.9952399999999999</v>
      </c>
      <c r="AJ18">
        <v>45.297499999999999</v>
      </c>
      <c r="AK18">
        <v>1.99522</v>
      </c>
      <c r="AL18" s="9">
        <v>42.813600000000001</v>
      </c>
    </row>
    <row r="19" spans="1:38" x14ac:dyDescent="0.2">
      <c r="A19" s="81">
        <v>2.5118</v>
      </c>
      <c r="B19">
        <v>20.497499999999999</v>
      </c>
      <c r="C19">
        <v>2.5118399999999999</v>
      </c>
      <c r="D19">
        <v>30.9877</v>
      </c>
      <c r="E19">
        <v>2.5118900000000002</v>
      </c>
      <c r="F19" s="9">
        <v>15.7583</v>
      </c>
      <c r="H19" s="21">
        <v>2.5118200000000002</v>
      </c>
      <c r="I19">
        <v>18.978999999999999</v>
      </c>
      <c r="J19">
        <v>2.51193</v>
      </c>
      <c r="K19">
        <v>19.197800000000001</v>
      </c>
      <c r="L19">
        <v>2.5118399999999999</v>
      </c>
      <c r="M19" s="9">
        <v>7.7339500000000001</v>
      </c>
      <c r="N19">
        <v>2.5118299999999998</v>
      </c>
      <c r="O19">
        <v>7.5140900000000004</v>
      </c>
      <c r="P19">
        <v>2.5120200000000001</v>
      </c>
      <c r="Q19">
        <v>8.7631800000000002</v>
      </c>
      <c r="R19">
        <v>2.5118800000000001</v>
      </c>
      <c r="S19">
        <v>20.418600000000001</v>
      </c>
      <c r="T19" s="21">
        <v>2.51187</v>
      </c>
      <c r="U19">
        <v>23.490300000000001</v>
      </c>
      <c r="V19">
        <v>2.5118</v>
      </c>
      <c r="W19">
        <v>58.488300000000002</v>
      </c>
      <c r="X19">
        <v>2.5119799999999999</v>
      </c>
      <c r="Y19" s="9">
        <v>83.235699999999994</v>
      </c>
      <c r="Z19">
        <v>2.5119799999999999</v>
      </c>
      <c r="AA19">
        <v>29.558800000000002</v>
      </c>
      <c r="AB19">
        <v>2.5116999999999998</v>
      </c>
      <c r="AC19">
        <v>19.2804</v>
      </c>
      <c r="AD19">
        <v>2.5119500000000001</v>
      </c>
      <c r="AE19">
        <v>28.5701</v>
      </c>
      <c r="AG19" s="21">
        <v>2.5118499999999999</v>
      </c>
      <c r="AH19">
        <v>51.033299999999997</v>
      </c>
      <c r="AI19">
        <v>2.5119199999999999</v>
      </c>
      <c r="AJ19">
        <v>34.804200000000002</v>
      </c>
      <c r="AK19">
        <v>2.5117600000000002</v>
      </c>
      <c r="AL19" s="9">
        <v>35.124099999999999</v>
      </c>
    </row>
    <row r="20" spans="1:38" x14ac:dyDescent="0.2">
      <c r="A20" s="81">
        <v>3.1623700000000001</v>
      </c>
      <c r="B20">
        <v>16.322299999999998</v>
      </c>
      <c r="C20">
        <v>3.1623199999999998</v>
      </c>
      <c r="D20">
        <v>26.518599999999999</v>
      </c>
      <c r="E20">
        <v>3.1621600000000001</v>
      </c>
      <c r="F20" s="9">
        <v>13.5251</v>
      </c>
      <c r="H20" s="21">
        <v>3.1622699999999999</v>
      </c>
      <c r="I20">
        <v>15.309799999999999</v>
      </c>
      <c r="J20">
        <v>3.1623600000000001</v>
      </c>
      <c r="K20">
        <v>15.307</v>
      </c>
      <c r="L20">
        <v>3.16248</v>
      </c>
      <c r="M20" s="9">
        <v>6.3874700000000004</v>
      </c>
      <c r="N20">
        <v>3.1620499999999998</v>
      </c>
      <c r="O20">
        <v>6.0476999999999999</v>
      </c>
      <c r="P20">
        <v>3.1625999999999999</v>
      </c>
      <c r="Q20">
        <v>7.5440699999999996</v>
      </c>
      <c r="R20">
        <v>3.1621800000000002</v>
      </c>
      <c r="S20">
        <v>16.477599999999999</v>
      </c>
      <c r="T20" s="21">
        <v>3.1624400000000001</v>
      </c>
      <c r="U20">
        <v>19.811699999999998</v>
      </c>
      <c r="V20">
        <v>3.1621999999999999</v>
      </c>
      <c r="W20">
        <v>47.121200000000002</v>
      </c>
      <c r="X20">
        <v>3.1623199999999998</v>
      </c>
      <c r="Y20" s="9">
        <v>68.149699999999996</v>
      </c>
      <c r="Z20">
        <v>3.16229</v>
      </c>
      <c r="AA20">
        <v>24.985900000000001</v>
      </c>
      <c r="AB20">
        <v>3.1623199999999998</v>
      </c>
      <c r="AC20">
        <v>15.531000000000001</v>
      </c>
      <c r="AD20">
        <v>3.16235</v>
      </c>
      <c r="AE20">
        <v>23.075099999999999</v>
      </c>
      <c r="AG20" s="21">
        <v>3.1623899999999998</v>
      </c>
      <c r="AH20">
        <v>45.915199999999999</v>
      </c>
      <c r="AI20">
        <v>3.16229</v>
      </c>
      <c r="AJ20">
        <v>28.139600000000002</v>
      </c>
      <c r="AK20">
        <v>3.16235</v>
      </c>
      <c r="AL20" s="9">
        <v>29.8583</v>
      </c>
    </row>
    <row r="21" spans="1:38" x14ac:dyDescent="0.2">
      <c r="A21" s="81">
        <v>3.98102</v>
      </c>
      <c r="B21">
        <v>13.1159</v>
      </c>
      <c r="C21">
        <v>3.98115</v>
      </c>
      <c r="D21">
        <v>22.661000000000001</v>
      </c>
      <c r="E21">
        <v>3.98089</v>
      </c>
      <c r="F21" s="9">
        <v>11.5</v>
      </c>
      <c r="H21" s="21">
        <v>3.9809800000000002</v>
      </c>
      <c r="I21">
        <v>12.2925</v>
      </c>
      <c r="J21">
        <v>3.9810500000000002</v>
      </c>
      <c r="K21">
        <v>12.255800000000001</v>
      </c>
      <c r="L21">
        <v>3.9809700000000001</v>
      </c>
      <c r="M21" s="9">
        <v>5.1556100000000002</v>
      </c>
      <c r="N21">
        <v>3.9812599999999998</v>
      </c>
      <c r="O21">
        <v>5.1239499999999998</v>
      </c>
      <c r="P21">
        <v>3.98102</v>
      </c>
      <c r="Q21">
        <v>6.35215</v>
      </c>
      <c r="R21">
        <v>3.9810699999999999</v>
      </c>
      <c r="S21">
        <v>13.811400000000001</v>
      </c>
      <c r="T21" s="21">
        <v>3.9810599999999998</v>
      </c>
      <c r="U21">
        <v>17.419699999999999</v>
      </c>
      <c r="V21">
        <v>3.9809299999999999</v>
      </c>
      <c r="W21">
        <v>39.466000000000001</v>
      </c>
      <c r="X21">
        <v>3.9810599999999998</v>
      </c>
      <c r="Y21" s="9">
        <v>58.5321</v>
      </c>
      <c r="Z21">
        <v>3.9810300000000001</v>
      </c>
      <c r="AA21">
        <v>21.282900000000001</v>
      </c>
      <c r="AB21">
        <v>3.9808500000000002</v>
      </c>
      <c r="AC21">
        <v>12.738</v>
      </c>
      <c r="AD21">
        <v>3.9812699999999999</v>
      </c>
      <c r="AE21">
        <v>18.7272</v>
      </c>
      <c r="AG21" s="21">
        <v>3.9810400000000001</v>
      </c>
      <c r="AH21">
        <v>42.046199999999999</v>
      </c>
      <c r="AI21">
        <v>3.9809700000000001</v>
      </c>
      <c r="AJ21">
        <v>23.092500000000001</v>
      </c>
      <c r="AK21">
        <v>3.9809199999999998</v>
      </c>
      <c r="AL21" s="9">
        <v>25.450399999999998</v>
      </c>
    </row>
    <row r="22" spans="1:38" x14ac:dyDescent="0.2">
      <c r="A22" s="81">
        <v>5.0117000000000003</v>
      </c>
      <c r="B22">
        <v>10.409599999999999</v>
      </c>
      <c r="C22">
        <v>5.0119400000000001</v>
      </c>
      <c r="D22">
        <v>19.551500000000001</v>
      </c>
      <c r="E22">
        <v>5.0117900000000004</v>
      </c>
      <c r="F22" s="9">
        <v>9.9777900000000006</v>
      </c>
      <c r="H22" s="21">
        <v>5.0116500000000004</v>
      </c>
      <c r="I22">
        <v>9.8019700000000007</v>
      </c>
      <c r="J22">
        <v>5.0120500000000003</v>
      </c>
      <c r="K22">
        <v>9.8888099999999994</v>
      </c>
      <c r="L22">
        <v>5.0119999999999996</v>
      </c>
      <c r="M22" s="9">
        <v>4.2819200000000004</v>
      </c>
      <c r="N22">
        <v>5.0119400000000001</v>
      </c>
      <c r="O22">
        <v>4.3426600000000004</v>
      </c>
      <c r="P22">
        <v>5.0118799999999997</v>
      </c>
      <c r="Q22">
        <v>5.46692</v>
      </c>
      <c r="R22">
        <v>5.0115299999999996</v>
      </c>
      <c r="S22">
        <v>11.5608</v>
      </c>
      <c r="T22" s="21">
        <v>5.0121200000000004</v>
      </c>
      <c r="U22">
        <v>16.029</v>
      </c>
      <c r="V22">
        <v>5.0120500000000003</v>
      </c>
      <c r="W22">
        <v>33.648600000000002</v>
      </c>
      <c r="X22">
        <v>5.0118400000000003</v>
      </c>
      <c r="Y22" s="9">
        <v>49.817900000000002</v>
      </c>
      <c r="Z22">
        <v>5.01206</v>
      </c>
      <c r="AA22">
        <v>18.295000000000002</v>
      </c>
      <c r="AB22">
        <v>5.0116199999999997</v>
      </c>
      <c r="AC22">
        <v>10.588200000000001</v>
      </c>
      <c r="AD22">
        <v>5.0119100000000003</v>
      </c>
      <c r="AE22">
        <v>15.4015</v>
      </c>
      <c r="AG22" s="21">
        <v>5.0119699999999998</v>
      </c>
      <c r="AH22">
        <v>40.319800000000001</v>
      </c>
      <c r="AI22">
        <v>5.0118200000000002</v>
      </c>
      <c r="AJ22">
        <v>19.1769</v>
      </c>
      <c r="AK22">
        <v>5.0119400000000001</v>
      </c>
      <c r="AL22" s="9">
        <v>22.5745</v>
      </c>
    </row>
    <row r="23" spans="1:38" x14ac:dyDescent="0.2">
      <c r="A23" s="81">
        <v>6.3094900000000003</v>
      </c>
      <c r="B23">
        <v>8.3151600000000006</v>
      </c>
      <c r="C23">
        <v>6.30952</v>
      </c>
      <c r="D23">
        <v>16.9556</v>
      </c>
      <c r="E23">
        <v>6.3095100000000004</v>
      </c>
      <c r="F23" s="9">
        <v>8.6251200000000008</v>
      </c>
      <c r="H23" s="21">
        <v>6.3095600000000003</v>
      </c>
      <c r="I23">
        <v>7.8791799999999999</v>
      </c>
      <c r="J23">
        <v>6.3093500000000002</v>
      </c>
      <c r="K23">
        <v>7.9916099999999997</v>
      </c>
      <c r="L23">
        <v>6.3097500000000002</v>
      </c>
      <c r="M23" s="9">
        <v>3.5908600000000002</v>
      </c>
      <c r="N23">
        <v>6.3097799999999999</v>
      </c>
      <c r="O23">
        <v>3.6617899999999999</v>
      </c>
      <c r="P23">
        <v>6.30938</v>
      </c>
      <c r="Q23">
        <v>4.7972900000000003</v>
      </c>
      <c r="R23">
        <v>6.3096500000000004</v>
      </c>
      <c r="S23">
        <v>9.5198699999999992</v>
      </c>
      <c r="T23" s="21">
        <v>6.3095400000000001</v>
      </c>
      <c r="U23">
        <v>14.643599999999999</v>
      </c>
      <c r="V23">
        <v>6.30924</v>
      </c>
      <c r="W23">
        <v>29.8307</v>
      </c>
      <c r="X23">
        <v>6.3091999999999997</v>
      </c>
      <c r="Y23" s="9">
        <v>42.342599999999997</v>
      </c>
      <c r="Z23">
        <v>6.3102200000000002</v>
      </c>
      <c r="AA23">
        <v>15.8766</v>
      </c>
      <c r="AB23">
        <v>6.3094000000000001</v>
      </c>
      <c r="AC23">
        <v>8.8349600000000006</v>
      </c>
      <c r="AD23">
        <v>6.30992</v>
      </c>
      <c r="AE23">
        <v>12.5664</v>
      </c>
      <c r="AG23" s="21">
        <v>6.3097799999999999</v>
      </c>
      <c r="AH23">
        <v>40.472900000000003</v>
      </c>
      <c r="AI23">
        <v>6.3093700000000004</v>
      </c>
      <c r="AJ23">
        <v>16.526399999999999</v>
      </c>
      <c r="AK23">
        <v>6.3095600000000003</v>
      </c>
      <c r="AL23" s="9">
        <v>20.533899999999999</v>
      </c>
    </row>
    <row r="24" spans="1:38" x14ac:dyDescent="0.2">
      <c r="A24" s="81">
        <v>7.9433600000000002</v>
      </c>
      <c r="B24">
        <v>6.5946199999999999</v>
      </c>
      <c r="C24">
        <v>7.9431599999999998</v>
      </c>
      <c r="D24">
        <v>14.649699999999999</v>
      </c>
      <c r="E24">
        <v>7.9427300000000001</v>
      </c>
      <c r="F24" s="9">
        <v>7.4222900000000003</v>
      </c>
      <c r="H24" s="21">
        <v>7.9433400000000001</v>
      </c>
      <c r="I24">
        <v>6.3115300000000003</v>
      </c>
      <c r="J24">
        <v>7.9431099999999999</v>
      </c>
      <c r="K24">
        <v>6.4656099999999999</v>
      </c>
      <c r="L24">
        <v>7.9430100000000001</v>
      </c>
      <c r="M24" s="9">
        <v>2.9502999999999999</v>
      </c>
      <c r="N24">
        <v>7.9437300000000004</v>
      </c>
      <c r="O24">
        <v>3.1792799999999999</v>
      </c>
      <c r="P24">
        <v>7.9426399999999999</v>
      </c>
      <c r="Q24">
        <v>4.1893799999999999</v>
      </c>
      <c r="R24">
        <v>7.9432200000000002</v>
      </c>
      <c r="S24">
        <v>7.9926599999999999</v>
      </c>
      <c r="T24" s="21">
        <v>7.9433999999999996</v>
      </c>
      <c r="U24">
        <v>13.4277</v>
      </c>
      <c r="V24">
        <v>7.9428999999999998</v>
      </c>
      <c r="W24">
        <v>27.979299999999999</v>
      </c>
      <c r="X24">
        <v>7.9435799999999999</v>
      </c>
      <c r="Y24" s="9">
        <v>36.802900000000001</v>
      </c>
      <c r="Z24">
        <v>7.9439500000000001</v>
      </c>
      <c r="AA24">
        <v>13.5572</v>
      </c>
      <c r="AB24">
        <v>7.9428799999999997</v>
      </c>
      <c r="AC24">
        <v>7.5229200000000001</v>
      </c>
      <c r="AD24">
        <v>7.9434800000000001</v>
      </c>
      <c r="AE24">
        <v>10.284800000000001</v>
      </c>
      <c r="AG24" s="21">
        <v>7.9434699999999996</v>
      </c>
      <c r="AH24">
        <v>39.210999999999999</v>
      </c>
      <c r="AI24">
        <v>7.9433299999999996</v>
      </c>
      <c r="AJ24">
        <v>14.180899999999999</v>
      </c>
      <c r="AK24">
        <v>7.9429400000000001</v>
      </c>
      <c r="AL24" s="9">
        <v>18.389900000000001</v>
      </c>
    </row>
    <row r="25" spans="1:38" x14ac:dyDescent="0.2">
      <c r="A25" s="81">
        <v>10.0001</v>
      </c>
      <c r="B25">
        <v>5.2138099999999996</v>
      </c>
      <c r="C25">
        <v>9.9993800000000004</v>
      </c>
      <c r="D25">
        <v>12.657500000000001</v>
      </c>
      <c r="E25">
        <v>9.9998799999999992</v>
      </c>
      <c r="F25" s="9">
        <v>6.5100699999999998</v>
      </c>
      <c r="H25" s="21">
        <v>9.9997100000000003</v>
      </c>
      <c r="I25">
        <v>5.0491099999999998</v>
      </c>
      <c r="J25">
        <v>10.0001</v>
      </c>
      <c r="K25">
        <v>5.2388599999999999</v>
      </c>
      <c r="L25">
        <v>9.9996700000000001</v>
      </c>
      <c r="M25" s="9">
        <v>2.4834999999999998</v>
      </c>
      <c r="N25">
        <v>9.9998400000000007</v>
      </c>
      <c r="O25">
        <v>2.7774299999999998</v>
      </c>
      <c r="P25">
        <v>10.0001</v>
      </c>
      <c r="Q25">
        <v>3.72716</v>
      </c>
      <c r="R25">
        <v>9.9995499999999993</v>
      </c>
      <c r="S25">
        <v>6.7375800000000003</v>
      </c>
      <c r="T25" s="21">
        <v>10.000299999999999</v>
      </c>
      <c r="U25">
        <v>12.5167</v>
      </c>
      <c r="V25">
        <v>10.000299999999999</v>
      </c>
      <c r="W25">
        <v>26.999199999999998</v>
      </c>
      <c r="X25">
        <v>9.9994599999999991</v>
      </c>
      <c r="Y25" s="9">
        <v>31.346399999999999</v>
      </c>
      <c r="Z25">
        <v>9.9998500000000003</v>
      </c>
      <c r="AA25">
        <v>11.792999999999999</v>
      </c>
      <c r="AB25">
        <v>9.9994300000000003</v>
      </c>
      <c r="AC25">
        <v>6.3845299999999998</v>
      </c>
      <c r="AD25">
        <v>10.0002</v>
      </c>
      <c r="AE25">
        <v>8.74207</v>
      </c>
      <c r="AG25" s="21">
        <v>9.99986</v>
      </c>
      <c r="AH25">
        <v>37.015999999999998</v>
      </c>
      <c r="AI25">
        <v>9.9999099999999999</v>
      </c>
      <c r="AJ25">
        <v>12.5581</v>
      </c>
      <c r="AK25">
        <v>9.9999000000000002</v>
      </c>
      <c r="AL25" s="9">
        <v>16.947399999999998</v>
      </c>
    </row>
    <row r="26" spans="1:38" x14ac:dyDescent="0.2">
      <c r="A26" s="81">
        <v>12.589600000000001</v>
      </c>
      <c r="B26">
        <v>4.1749400000000003</v>
      </c>
      <c r="C26">
        <v>12.589399999999999</v>
      </c>
      <c r="D26">
        <v>10.954000000000001</v>
      </c>
      <c r="E26">
        <v>12.589399999999999</v>
      </c>
      <c r="F26" s="9">
        <v>5.6724199999999998</v>
      </c>
      <c r="H26" s="21">
        <v>12.5892</v>
      </c>
      <c r="I26">
        <v>4.0390899999999998</v>
      </c>
      <c r="J26">
        <v>12.5898</v>
      </c>
      <c r="K26">
        <v>4.2686500000000001</v>
      </c>
      <c r="L26">
        <v>12.59</v>
      </c>
      <c r="M26" s="9">
        <v>2.05531</v>
      </c>
      <c r="N26">
        <v>12.589499999999999</v>
      </c>
      <c r="O26">
        <v>2.4447299999999998</v>
      </c>
      <c r="P26">
        <v>12.5899</v>
      </c>
      <c r="Q26">
        <v>3.33066</v>
      </c>
      <c r="R26">
        <v>12.588900000000001</v>
      </c>
      <c r="S26">
        <v>5.6810400000000003</v>
      </c>
      <c r="T26" s="21">
        <v>12.59</v>
      </c>
      <c r="U26">
        <v>11.542400000000001</v>
      </c>
      <c r="V26">
        <v>12.5891</v>
      </c>
      <c r="W26">
        <v>25.782900000000001</v>
      </c>
      <c r="X26">
        <v>12.589499999999999</v>
      </c>
      <c r="Y26" s="9">
        <v>26.5593</v>
      </c>
      <c r="Z26">
        <v>12.589</v>
      </c>
      <c r="AA26">
        <v>10.068300000000001</v>
      </c>
      <c r="AB26">
        <v>12.5893</v>
      </c>
      <c r="AC26">
        <v>5.4531799999999997</v>
      </c>
      <c r="AD26">
        <v>12.589700000000001</v>
      </c>
      <c r="AE26">
        <v>7.53186</v>
      </c>
      <c r="AG26" s="21">
        <v>12.5893</v>
      </c>
      <c r="AH26">
        <v>32.635300000000001</v>
      </c>
      <c r="AI26">
        <v>12.5893</v>
      </c>
      <c r="AJ26">
        <v>11.3035</v>
      </c>
      <c r="AK26">
        <v>12.5886</v>
      </c>
      <c r="AL26" s="9">
        <v>15.2624</v>
      </c>
    </row>
    <row r="27" spans="1:38" x14ac:dyDescent="0.2">
      <c r="A27" s="81">
        <v>15.8491</v>
      </c>
      <c r="B27">
        <v>3.2576200000000002</v>
      </c>
      <c r="C27">
        <v>15.849299999999999</v>
      </c>
      <c r="D27">
        <v>8.9112100000000005</v>
      </c>
      <c r="E27">
        <v>15.8485</v>
      </c>
      <c r="F27" s="9">
        <v>4.8977599999999999</v>
      </c>
      <c r="H27" s="21">
        <v>15.849</v>
      </c>
      <c r="I27">
        <v>3.17293</v>
      </c>
      <c r="J27">
        <v>15.849299999999999</v>
      </c>
      <c r="K27">
        <v>3.4956999999999998</v>
      </c>
      <c r="L27">
        <v>15.8483</v>
      </c>
      <c r="M27" s="9">
        <v>1.68323</v>
      </c>
      <c r="N27">
        <v>15.8492</v>
      </c>
      <c r="O27">
        <v>2.1855199999999999</v>
      </c>
      <c r="P27">
        <v>15.8483</v>
      </c>
      <c r="Q27">
        <v>2.9347699999999999</v>
      </c>
      <c r="R27">
        <v>15.8489</v>
      </c>
      <c r="S27">
        <v>4.8070000000000004</v>
      </c>
      <c r="T27" s="21">
        <v>15.849600000000001</v>
      </c>
      <c r="U27">
        <v>10.573399999999999</v>
      </c>
      <c r="V27">
        <v>15.8483</v>
      </c>
      <c r="W27">
        <v>24.087599999999998</v>
      </c>
      <c r="X27">
        <v>15.848800000000001</v>
      </c>
      <c r="Y27" s="9">
        <v>22.0275</v>
      </c>
      <c r="Z27">
        <v>15.847799999999999</v>
      </c>
      <c r="AA27">
        <v>8.3483599999999996</v>
      </c>
      <c r="AB27">
        <v>15.848800000000001</v>
      </c>
      <c r="AC27">
        <v>4.6895800000000003</v>
      </c>
      <c r="AD27">
        <v>15.850199999999999</v>
      </c>
      <c r="AE27">
        <v>6.53498</v>
      </c>
      <c r="AG27" s="21">
        <v>15.849600000000001</v>
      </c>
      <c r="AH27">
        <v>27.855799999999999</v>
      </c>
      <c r="AI27">
        <v>15.849</v>
      </c>
      <c r="AJ27">
        <v>10.226699999999999</v>
      </c>
      <c r="AK27">
        <v>15.8484</v>
      </c>
      <c r="AL27" s="9">
        <v>13.6143</v>
      </c>
    </row>
    <row r="28" spans="1:38" x14ac:dyDescent="0.2">
      <c r="A28" s="81">
        <v>19.9528</v>
      </c>
      <c r="B28">
        <v>2.5488900000000001</v>
      </c>
      <c r="C28">
        <v>19.9528</v>
      </c>
      <c r="D28">
        <v>7.8074000000000003</v>
      </c>
      <c r="E28">
        <v>19.952000000000002</v>
      </c>
      <c r="F28" s="9">
        <v>4.2361300000000002</v>
      </c>
      <c r="H28" s="21">
        <v>19.952400000000001</v>
      </c>
      <c r="I28">
        <v>2.3249499999999999</v>
      </c>
      <c r="J28">
        <v>19.9526</v>
      </c>
      <c r="K28">
        <v>2.8906399999999999</v>
      </c>
      <c r="L28">
        <v>19.952200000000001</v>
      </c>
      <c r="M28" s="9">
        <v>1.38568</v>
      </c>
      <c r="N28">
        <v>19.9544</v>
      </c>
      <c r="O28">
        <v>1.9789399999999999</v>
      </c>
      <c r="P28">
        <v>19.953399999999998</v>
      </c>
      <c r="Q28">
        <v>2.5703800000000001</v>
      </c>
      <c r="R28">
        <v>19.952300000000001</v>
      </c>
      <c r="S28">
        <v>4.1318099999999998</v>
      </c>
      <c r="T28" s="21">
        <v>19.953299999999999</v>
      </c>
      <c r="U28">
        <v>9.4393600000000006</v>
      </c>
      <c r="V28">
        <v>19.951799999999999</v>
      </c>
      <c r="W28">
        <v>22.006</v>
      </c>
      <c r="X28">
        <v>19.9514</v>
      </c>
      <c r="Y28" s="9">
        <v>17.707699999999999</v>
      </c>
      <c r="Z28">
        <v>19.952999999999999</v>
      </c>
      <c r="AA28">
        <v>6.8767300000000002</v>
      </c>
      <c r="AB28">
        <v>19.9529</v>
      </c>
      <c r="AC28">
        <v>4.0270999999999999</v>
      </c>
      <c r="AD28">
        <v>19.953199999999999</v>
      </c>
      <c r="AE28">
        <v>5.6696799999999996</v>
      </c>
      <c r="AG28" s="21">
        <v>19.9526</v>
      </c>
      <c r="AH28">
        <v>23.728400000000001</v>
      </c>
      <c r="AI28">
        <v>19.953199999999999</v>
      </c>
      <c r="AJ28">
        <v>9.3563799999999997</v>
      </c>
      <c r="AK28">
        <v>19.9526</v>
      </c>
      <c r="AL28" s="9">
        <v>11.9572</v>
      </c>
    </row>
    <row r="29" spans="1:38" x14ac:dyDescent="0.2">
      <c r="A29" s="81">
        <v>25.119700000000002</v>
      </c>
      <c r="B29">
        <v>2.0115500000000002</v>
      </c>
      <c r="C29">
        <v>25.119299999999999</v>
      </c>
      <c r="D29">
        <v>6.8967000000000001</v>
      </c>
      <c r="E29">
        <v>25.118500000000001</v>
      </c>
      <c r="F29" s="9">
        <v>3.6886100000000002</v>
      </c>
      <c r="H29" s="21">
        <v>25.118300000000001</v>
      </c>
      <c r="I29">
        <v>1.90513</v>
      </c>
      <c r="J29">
        <v>25.1188</v>
      </c>
      <c r="K29">
        <v>2.4018600000000001</v>
      </c>
      <c r="L29">
        <v>25.1188</v>
      </c>
      <c r="M29" s="9">
        <v>1.21997</v>
      </c>
      <c r="N29">
        <v>25.119700000000002</v>
      </c>
      <c r="O29">
        <v>1.77833</v>
      </c>
      <c r="P29">
        <v>25.119199999999999</v>
      </c>
      <c r="Q29">
        <v>2.2052800000000001</v>
      </c>
      <c r="R29">
        <v>25.117899999999999</v>
      </c>
      <c r="S29">
        <v>3.5296699999999999</v>
      </c>
      <c r="T29" s="21">
        <v>25.119700000000002</v>
      </c>
      <c r="U29">
        <v>8.1014900000000001</v>
      </c>
      <c r="V29">
        <v>25.117999999999999</v>
      </c>
      <c r="W29">
        <v>19.445699999999999</v>
      </c>
      <c r="X29">
        <v>25.1174</v>
      </c>
      <c r="Y29" s="9">
        <v>14.2019</v>
      </c>
      <c r="Z29">
        <v>25.119700000000002</v>
      </c>
      <c r="AA29">
        <v>5.6100199999999996</v>
      </c>
      <c r="AB29">
        <v>25.119</v>
      </c>
      <c r="AC29">
        <v>3.4259400000000002</v>
      </c>
      <c r="AD29">
        <v>25.119199999999999</v>
      </c>
      <c r="AE29">
        <v>4.7364600000000001</v>
      </c>
      <c r="AG29" s="21">
        <v>25.119</v>
      </c>
      <c r="AH29">
        <v>19.818999999999999</v>
      </c>
      <c r="AI29">
        <v>25.1189</v>
      </c>
      <c r="AJ29">
        <v>8.6064100000000003</v>
      </c>
      <c r="AK29">
        <v>25.120100000000001</v>
      </c>
      <c r="AL29" s="9">
        <v>10.903499999999999</v>
      </c>
    </row>
    <row r="30" spans="1:38" x14ac:dyDescent="0.2">
      <c r="A30" s="81">
        <v>31.622800000000002</v>
      </c>
      <c r="B30">
        <v>1.59829</v>
      </c>
      <c r="C30">
        <v>31.6221</v>
      </c>
      <c r="D30">
        <v>6.0429899999999996</v>
      </c>
      <c r="E30">
        <v>31.622199999999999</v>
      </c>
      <c r="F30" s="9">
        <v>3.1662699999999999</v>
      </c>
      <c r="H30" s="21">
        <v>31.622499999999999</v>
      </c>
      <c r="I30">
        <v>1.5671999999999999</v>
      </c>
      <c r="J30">
        <v>31.622599999999998</v>
      </c>
      <c r="K30">
        <v>1.99519</v>
      </c>
      <c r="L30">
        <v>31.622900000000001</v>
      </c>
      <c r="M30" s="9">
        <v>1.1907700000000001</v>
      </c>
      <c r="N30">
        <v>31.625499999999999</v>
      </c>
      <c r="O30">
        <v>1.5430299999999999</v>
      </c>
      <c r="P30">
        <v>31.622199999999999</v>
      </c>
      <c r="Q30">
        <v>1.8997200000000001</v>
      </c>
      <c r="R30">
        <v>31.624099999999999</v>
      </c>
      <c r="S30">
        <v>3.02955</v>
      </c>
      <c r="T30" s="21">
        <v>31.623799999999999</v>
      </c>
      <c r="U30">
        <v>6.75753</v>
      </c>
      <c r="V30">
        <v>31.622900000000001</v>
      </c>
      <c r="W30">
        <v>17.080500000000001</v>
      </c>
      <c r="X30">
        <v>31.623100000000001</v>
      </c>
      <c r="Y30" s="9">
        <v>11.1798</v>
      </c>
      <c r="Z30">
        <v>31.624199999999998</v>
      </c>
      <c r="AA30">
        <v>4.5705400000000003</v>
      </c>
      <c r="AB30">
        <v>31.622499999999999</v>
      </c>
      <c r="AC30">
        <v>2.86605</v>
      </c>
      <c r="AD30">
        <v>31.623999999999999</v>
      </c>
      <c r="AE30">
        <v>3.9681600000000001</v>
      </c>
      <c r="AG30" s="21">
        <v>31.622299999999999</v>
      </c>
      <c r="AH30">
        <v>16.349699999999999</v>
      </c>
      <c r="AI30">
        <v>31.621700000000001</v>
      </c>
      <c r="AJ30">
        <v>7.8851100000000001</v>
      </c>
      <c r="AK30">
        <v>31.6206</v>
      </c>
      <c r="AL30" s="9">
        <v>9.8926400000000001</v>
      </c>
    </row>
    <row r="31" spans="1:38" x14ac:dyDescent="0.2">
      <c r="A31" s="81">
        <v>39.810099999999998</v>
      </c>
      <c r="B31">
        <v>1.28857</v>
      </c>
      <c r="C31">
        <v>39.809899999999999</v>
      </c>
      <c r="D31">
        <v>5.1857100000000003</v>
      </c>
      <c r="E31">
        <v>39.809800000000003</v>
      </c>
      <c r="F31" s="9">
        <v>2.7256300000000002</v>
      </c>
      <c r="H31" s="21">
        <v>39.809899999999999</v>
      </c>
      <c r="I31">
        <v>1.2960199999999999</v>
      </c>
      <c r="J31">
        <v>39.8108</v>
      </c>
      <c r="K31">
        <v>1.6684600000000001</v>
      </c>
      <c r="L31">
        <v>39.810600000000001</v>
      </c>
      <c r="M31" s="9">
        <v>1.13167</v>
      </c>
      <c r="N31">
        <v>39.812199999999997</v>
      </c>
      <c r="O31">
        <v>1.3183400000000001</v>
      </c>
      <c r="P31">
        <v>39.811500000000002</v>
      </c>
      <c r="Q31">
        <v>1.62778</v>
      </c>
      <c r="R31">
        <v>39.809899999999999</v>
      </c>
      <c r="S31">
        <v>2.6366700000000001</v>
      </c>
      <c r="T31" s="21">
        <v>39.811300000000003</v>
      </c>
      <c r="U31">
        <v>5.4812799999999999</v>
      </c>
      <c r="V31">
        <v>39.810600000000001</v>
      </c>
      <c r="W31">
        <v>13.722</v>
      </c>
      <c r="X31">
        <v>39.810699999999997</v>
      </c>
      <c r="Y31" s="9">
        <v>8.7751900000000003</v>
      </c>
      <c r="Z31">
        <v>39.812199999999997</v>
      </c>
      <c r="AA31">
        <v>3.6726399999999999</v>
      </c>
      <c r="AB31">
        <v>39.810600000000001</v>
      </c>
      <c r="AC31">
        <v>2.3542700000000001</v>
      </c>
      <c r="AD31">
        <v>39.812100000000001</v>
      </c>
      <c r="AE31">
        <v>3.3459699999999999</v>
      </c>
      <c r="AG31" s="21">
        <v>39.811</v>
      </c>
      <c r="AH31">
        <v>13.272600000000001</v>
      </c>
      <c r="AI31">
        <v>39.810699999999997</v>
      </c>
      <c r="AJ31">
        <v>7.0952299999999999</v>
      </c>
      <c r="AK31">
        <v>39.808599999999998</v>
      </c>
      <c r="AL31" s="9">
        <v>8.1904800000000009</v>
      </c>
    </row>
    <row r="32" spans="1:38" x14ac:dyDescent="0.2">
      <c r="A32" s="81">
        <v>50.119399999999999</v>
      </c>
      <c r="B32">
        <v>1.0444899999999999</v>
      </c>
      <c r="C32">
        <v>50.116599999999998</v>
      </c>
      <c r="D32">
        <v>4.3962599999999998</v>
      </c>
      <c r="E32">
        <v>50.118000000000002</v>
      </c>
      <c r="F32" s="9">
        <v>2.3084600000000002</v>
      </c>
      <c r="H32" s="21">
        <v>50.119199999999999</v>
      </c>
      <c r="I32">
        <v>1.07816</v>
      </c>
      <c r="J32">
        <v>50.118200000000002</v>
      </c>
      <c r="K32">
        <v>1.4071100000000001</v>
      </c>
      <c r="L32">
        <v>50.118400000000001</v>
      </c>
      <c r="M32" s="9">
        <v>0.97758800000000001</v>
      </c>
      <c r="N32">
        <v>50.116599999999998</v>
      </c>
      <c r="O32">
        <v>1.1281399999999999</v>
      </c>
      <c r="P32">
        <v>50.119599999999998</v>
      </c>
      <c r="Q32">
        <v>1.36612</v>
      </c>
      <c r="R32">
        <v>50.1173</v>
      </c>
      <c r="S32">
        <v>2.27338</v>
      </c>
      <c r="T32" s="21">
        <v>50.121200000000002</v>
      </c>
      <c r="U32">
        <v>4.3812300000000004</v>
      </c>
      <c r="V32">
        <v>50.116500000000002</v>
      </c>
      <c r="W32">
        <v>10.773199999999999</v>
      </c>
      <c r="X32">
        <v>50.1205</v>
      </c>
      <c r="Y32" s="9">
        <v>7.0908199999999999</v>
      </c>
      <c r="Z32">
        <v>50.1188</v>
      </c>
      <c r="AA32">
        <v>2.9239000000000002</v>
      </c>
      <c r="AB32">
        <v>50.119</v>
      </c>
      <c r="AC32">
        <v>1.93737</v>
      </c>
      <c r="AD32">
        <v>50.120399999999997</v>
      </c>
      <c r="AE32">
        <v>2.7580200000000001</v>
      </c>
      <c r="AG32" s="21">
        <v>50.119599999999998</v>
      </c>
      <c r="AH32">
        <v>10.6092</v>
      </c>
      <c r="AI32">
        <v>50.119599999999998</v>
      </c>
      <c r="AJ32">
        <v>6.2875800000000002</v>
      </c>
      <c r="AK32">
        <v>50.118299999999998</v>
      </c>
      <c r="AL32" s="9">
        <v>6.6415800000000003</v>
      </c>
    </row>
    <row r="33" spans="1:38" x14ac:dyDescent="0.2">
      <c r="A33" s="81">
        <v>63.093299999999999</v>
      </c>
      <c r="B33">
        <v>0.85920700000000005</v>
      </c>
      <c r="C33">
        <v>63.094799999999999</v>
      </c>
      <c r="D33">
        <v>3.6839400000000002</v>
      </c>
      <c r="E33">
        <v>63.093899999999998</v>
      </c>
      <c r="F33" s="9">
        <v>1.91252</v>
      </c>
      <c r="H33" s="21">
        <v>63.095199999999998</v>
      </c>
      <c r="I33">
        <v>0.90727000000000002</v>
      </c>
      <c r="J33">
        <v>63.096499999999999</v>
      </c>
      <c r="K33">
        <v>1.1807700000000001</v>
      </c>
      <c r="L33">
        <v>63.096200000000003</v>
      </c>
      <c r="M33" s="9">
        <v>0.81347800000000003</v>
      </c>
      <c r="N33">
        <v>63.097000000000001</v>
      </c>
      <c r="O33">
        <v>0.94822300000000004</v>
      </c>
      <c r="P33">
        <v>63.096899999999998</v>
      </c>
      <c r="Q33">
        <v>1.1304399999999999</v>
      </c>
      <c r="R33">
        <v>63.094099999999997</v>
      </c>
      <c r="S33">
        <v>1.94495</v>
      </c>
      <c r="T33" s="21">
        <v>63.099299999999999</v>
      </c>
      <c r="U33">
        <v>3.45648</v>
      </c>
      <c r="V33">
        <v>63.093299999999999</v>
      </c>
      <c r="W33">
        <v>8.4304199999999998</v>
      </c>
      <c r="X33">
        <v>63.094700000000003</v>
      </c>
      <c r="Y33" s="9">
        <v>5.9128299999999996</v>
      </c>
      <c r="Z33">
        <v>63.095300000000002</v>
      </c>
      <c r="AA33">
        <v>2.3259400000000001</v>
      </c>
      <c r="AB33">
        <v>63.094999999999999</v>
      </c>
      <c r="AC33">
        <v>1.5862700000000001</v>
      </c>
      <c r="AD33">
        <v>63.097200000000001</v>
      </c>
      <c r="AE33">
        <v>2.3122099999999999</v>
      </c>
      <c r="AG33" s="21">
        <v>63.0959</v>
      </c>
      <c r="AH33">
        <v>8.2598199999999995</v>
      </c>
      <c r="AI33">
        <v>63.094799999999999</v>
      </c>
      <c r="AJ33">
        <v>5.4836</v>
      </c>
      <c r="AK33">
        <v>63.095799999999997</v>
      </c>
      <c r="AL33" s="9">
        <v>5.2210299999999998</v>
      </c>
    </row>
    <row r="34" spans="1:38" x14ac:dyDescent="0.2">
      <c r="A34" s="81">
        <v>79.433099999999996</v>
      </c>
      <c r="B34">
        <v>0.71293700000000004</v>
      </c>
      <c r="C34">
        <v>79.431799999999996</v>
      </c>
      <c r="D34">
        <v>3.1418400000000002</v>
      </c>
      <c r="E34">
        <v>79.432000000000002</v>
      </c>
      <c r="F34" s="9">
        <v>1.60162</v>
      </c>
      <c r="H34" s="21">
        <v>79.433800000000005</v>
      </c>
      <c r="I34">
        <v>0.75511499999999998</v>
      </c>
      <c r="J34">
        <v>79.435900000000004</v>
      </c>
      <c r="K34">
        <v>1.0031099999999999</v>
      </c>
      <c r="L34">
        <v>79.434399999999997</v>
      </c>
      <c r="M34" s="9">
        <v>0.68082699999999996</v>
      </c>
      <c r="N34">
        <v>79.432900000000004</v>
      </c>
      <c r="O34">
        <v>0.79936099999999999</v>
      </c>
      <c r="P34">
        <v>79.434399999999997</v>
      </c>
      <c r="Q34">
        <v>0.92818900000000004</v>
      </c>
      <c r="R34">
        <v>79.432000000000002</v>
      </c>
      <c r="S34">
        <v>1.6696500000000001</v>
      </c>
      <c r="T34" s="21">
        <v>79.437399999999997</v>
      </c>
      <c r="U34">
        <v>2.6958700000000002</v>
      </c>
      <c r="V34">
        <v>79.433300000000003</v>
      </c>
      <c r="W34">
        <v>6.46732</v>
      </c>
      <c r="X34">
        <v>79.432299999999998</v>
      </c>
      <c r="Y34" s="9">
        <v>5.0788099999999998</v>
      </c>
      <c r="Z34">
        <v>79.433899999999994</v>
      </c>
      <c r="AA34">
        <v>1.8535699999999999</v>
      </c>
      <c r="AB34">
        <v>79.434100000000001</v>
      </c>
      <c r="AC34">
        <v>1.30497</v>
      </c>
      <c r="AD34">
        <v>79.431899999999999</v>
      </c>
      <c r="AE34">
        <v>1.8916500000000001</v>
      </c>
      <c r="AG34" s="21">
        <v>79.433700000000002</v>
      </c>
      <c r="AH34">
        <v>6.3547200000000004</v>
      </c>
      <c r="AI34">
        <v>79.432900000000004</v>
      </c>
      <c r="AJ34">
        <v>4.6528600000000004</v>
      </c>
      <c r="AK34">
        <v>79.432900000000004</v>
      </c>
      <c r="AL34" s="9">
        <v>3.8613</v>
      </c>
    </row>
    <row r="35" spans="1:38" x14ac:dyDescent="0.2">
      <c r="A35" s="81">
        <v>99.998400000000004</v>
      </c>
      <c r="B35">
        <v>0.60172899999999996</v>
      </c>
      <c r="C35">
        <v>100.004</v>
      </c>
      <c r="D35">
        <v>2.70139</v>
      </c>
      <c r="E35">
        <v>99.995900000000006</v>
      </c>
      <c r="F35" s="9">
        <v>1.3390500000000001</v>
      </c>
      <c r="H35" s="21">
        <v>99.997900000000001</v>
      </c>
      <c r="I35">
        <v>0.63273699999999999</v>
      </c>
      <c r="J35">
        <v>100.001</v>
      </c>
      <c r="K35">
        <v>0.86211899999999997</v>
      </c>
      <c r="L35">
        <v>99.999600000000001</v>
      </c>
      <c r="M35" s="9">
        <v>0.58274599999999999</v>
      </c>
      <c r="N35">
        <v>100.00700000000001</v>
      </c>
      <c r="O35">
        <v>0.677145</v>
      </c>
      <c r="P35">
        <v>100</v>
      </c>
      <c r="Q35">
        <v>0.72969600000000001</v>
      </c>
      <c r="R35">
        <v>100</v>
      </c>
      <c r="S35">
        <v>1.4072</v>
      </c>
      <c r="T35" s="21">
        <v>100.003</v>
      </c>
      <c r="U35">
        <v>2.0959599999999998</v>
      </c>
      <c r="V35">
        <v>100.001</v>
      </c>
      <c r="W35">
        <v>4.9619</v>
      </c>
      <c r="X35">
        <v>99.998199999999997</v>
      </c>
      <c r="Y35" s="9">
        <v>4.6339600000000001</v>
      </c>
      <c r="Z35">
        <v>99.999300000000005</v>
      </c>
      <c r="AA35">
        <v>1.4731300000000001</v>
      </c>
      <c r="AB35">
        <v>99.995500000000007</v>
      </c>
      <c r="AC35">
        <v>1.07639</v>
      </c>
      <c r="AD35">
        <v>100.006</v>
      </c>
      <c r="AE35">
        <v>1.5498499999999999</v>
      </c>
      <c r="AG35" s="21">
        <v>100.001</v>
      </c>
      <c r="AH35">
        <v>4.8358499999999998</v>
      </c>
      <c r="AI35">
        <v>100.003</v>
      </c>
      <c r="AJ35">
        <v>3.91012</v>
      </c>
      <c r="AK35">
        <v>99.999700000000004</v>
      </c>
      <c r="AL35" s="9">
        <v>3.20791</v>
      </c>
    </row>
    <row r="36" spans="1:38" x14ac:dyDescent="0.2">
      <c r="A36" s="81">
        <v>125.893</v>
      </c>
      <c r="B36">
        <v>0.52684299999999995</v>
      </c>
      <c r="C36">
        <v>125.896</v>
      </c>
      <c r="D36">
        <v>2.4247200000000002</v>
      </c>
      <c r="E36">
        <v>125.889</v>
      </c>
      <c r="F36" s="9">
        <v>1.1069599999999999</v>
      </c>
      <c r="H36" s="21">
        <v>125.892</v>
      </c>
      <c r="I36">
        <v>0.52654500000000004</v>
      </c>
      <c r="J36">
        <v>125.89400000000001</v>
      </c>
      <c r="K36">
        <v>0.76036300000000001</v>
      </c>
      <c r="L36">
        <v>125.889</v>
      </c>
      <c r="M36" s="9">
        <v>0.49707899999999999</v>
      </c>
      <c r="N36">
        <v>125.899</v>
      </c>
      <c r="O36">
        <v>0.59226400000000001</v>
      </c>
      <c r="P36">
        <v>125.892</v>
      </c>
      <c r="Q36">
        <v>0.57450999999999997</v>
      </c>
      <c r="R36">
        <v>125.89400000000001</v>
      </c>
      <c r="S36">
        <v>1.18571</v>
      </c>
      <c r="T36" s="21">
        <v>125.893</v>
      </c>
      <c r="U36">
        <v>1.6247100000000001</v>
      </c>
      <c r="V36">
        <v>125.89100000000001</v>
      </c>
      <c r="W36">
        <v>3.7932199999999998</v>
      </c>
      <c r="X36">
        <v>125.895</v>
      </c>
      <c r="Y36" s="9">
        <v>4.4157900000000003</v>
      </c>
      <c r="Z36">
        <v>125.892</v>
      </c>
      <c r="AA36">
        <v>1.16536</v>
      </c>
      <c r="AB36">
        <v>125.88800000000001</v>
      </c>
      <c r="AC36">
        <v>0.87546999999999997</v>
      </c>
      <c r="AD36">
        <v>125.895</v>
      </c>
      <c r="AE36">
        <v>1.3019799999999999</v>
      </c>
      <c r="AG36" s="21">
        <v>125.892</v>
      </c>
      <c r="AH36">
        <v>3.7081400000000002</v>
      </c>
      <c r="AI36">
        <v>125.89100000000001</v>
      </c>
      <c r="AJ36">
        <v>3.2138</v>
      </c>
      <c r="AK36">
        <v>125.892</v>
      </c>
      <c r="AL36" s="9">
        <v>2.6701700000000002</v>
      </c>
    </row>
    <row r="37" spans="1:38" x14ac:dyDescent="0.2">
      <c r="A37" s="81">
        <v>158.49199999999999</v>
      </c>
      <c r="B37">
        <v>0.46920899999999999</v>
      </c>
      <c r="C37">
        <v>158.49199999999999</v>
      </c>
      <c r="D37">
        <v>2.19042</v>
      </c>
      <c r="E37">
        <v>158.49199999999999</v>
      </c>
      <c r="F37" s="9">
        <v>0.923732</v>
      </c>
      <c r="H37" s="21">
        <v>158.49199999999999</v>
      </c>
      <c r="I37">
        <v>0.42036600000000002</v>
      </c>
      <c r="J37">
        <v>158.489</v>
      </c>
      <c r="K37">
        <v>0.213392</v>
      </c>
      <c r="L37">
        <v>158.488</v>
      </c>
      <c r="M37" s="9">
        <v>0.399279</v>
      </c>
      <c r="N37">
        <v>158.49199999999999</v>
      </c>
      <c r="O37">
        <v>0.52527900000000005</v>
      </c>
      <c r="P37">
        <v>158.49100000000001</v>
      </c>
      <c r="Q37">
        <v>0.45712199999999997</v>
      </c>
      <c r="R37">
        <v>158.488</v>
      </c>
      <c r="S37">
        <v>1.0283199999999999</v>
      </c>
      <c r="T37" s="21">
        <v>158.49199999999999</v>
      </c>
      <c r="U37">
        <v>1.2581199999999999</v>
      </c>
      <c r="V37">
        <v>158.48599999999999</v>
      </c>
      <c r="W37">
        <v>2.8889399999999998</v>
      </c>
      <c r="X37">
        <v>158.49199999999999</v>
      </c>
      <c r="Y37" s="9">
        <v>3.99282</v>
      </c>
      <c r="Z37">
        <v>158.49299999999999</v>
      </c>
      <c r="AA37">
        <v>0.91529300000000002</v>
      </c>
      <c r="AB37">
        <v>158.48500000000001</v>
      </c>
      <c r="AC37">
        <v>0.71245099999999995</v>
      </c>
      <c r="AD37">
        <v>158.49100000000001</v>
      </c>
      <c r="AE37">
        <v>1.0662199999999999</v>
      </c>
      <c r="AG37" s="21">
        <v>158.495</v>
      </c>
      <c r="AH37">
        <v>2.82857</v>
      </c>
      <c r="AI37">
        <v>158.489</v>
      </c>
      <c r="AJ37">
        <v>2.5910199999999999</v>
      </c>
      <c r="AK37">
        <v>158.49100000000001</v>
      </c>
      <c r="AL37" s="9">
        <v>2.25074</v>
      </c>
    </row>
    <row r="38" spans="1:38" x14ac:dyDescent="0.2">
      <c r="A38" s="81">
        <v>199.52500000000001</v>
      </c>
      <c r="B38">
        <v>0.43668600000000002</v>
      </c>
      <c r="C38">
        <v>199.52600000000001</v>
      </c>
      <c r="D38">
        <v>2.0004400000000002</v>
      </c>
      <c r="E38">
        <v>199.52699999999999</v>
      </c>
      <c r="F38" s="9">
        <v>0.78974100000000003</v>
      </c>
      <c r="H38" s="21">
        <v>199.52199999999999</v>
      </c>
      <c r="I38">
        <v>0.355549</v>
      </c>
      <c r="J38">
        <v>199.529</v>
      </c>
      <c r="K38">
        <v>0.17357900000000001</v>
      </c>
      <c r="L38">
        <v>199.51900000000001</v>
      </c>
      <c r="M38" s="9">
        <v>0.34188099999999999</v>
      </c>
      <c r="N38">
        <v>199.52699999999999</v>
      </c>
      <c r="O38">
        <v>0.47316900000000001</v>
      </c>
      <c r="P38">
        <v>199.53</v>
      </c>
      <c r="Q38">
        <v>0.371415</v>
      </c>
      <c r="R38">
        <v>199.52199999999999</v>
      </c>
      <c r="S38">
        <v>0.91548300000000005</v>
      </c>
      <c r="T38" s="21">
        <v>199.52500000000001</v>
      </c>
      <c r="U38">
        <v>0.97661399999999998</v>
      </c>
      <c r="V38">
        <v>199.52099999999999</v>
      </c>
      <c r="W38">
        <v>2.2456100000000001</v>
      </c>
      <c r="X38">
        <v>199.52600000000001</v>
      </c>
      <c r="Y38" s="9">
        <v>3.1171000000000002</v>
      </c>
      <c r="Z38">
        <v>199.529</v>
      </c>
      <c r="AA38">
        <v>0.72915300000000005</v>
      </c>
      <c r="AB38">
        <v>199.51900000000001</v>
      </c>
      <c r="AC38">
        <v>0.58226999999999995</v>
      </c>
      <c r="AD38">
        <v>199.53299999999999</v>
      </c>
      <c r="AE38">
        <v>0.85227600000000003</v>
      </c>
      <c r="AG38" s="21">
        <v>199.53</v>
      </c>
      <c r="AH38">
        <v>2.1501999999999999</v>
      </c>
      <c r="AI38">
        <v>199.529</v>
      </c>
      <c r="AJ38">
        <v>2.04853</v>
      </c>
      <c r="AK38">
        <v>199.529</v>
      </c>
      <c r="AL38" s="9">
        <v>1.92893</v>
      </c>
    </row>
    <row r="39" spans="1:38" x14ac:dyDescent="0.2">
      <c r="A39" s="81">
        <v>251.184</v>
      </c>
      <c r="B39">
        <v>0.433473</v>
      </c>
      <c r="C39">
        <v>251.197</v>
      </c>
      <c r="D39">
        <v>1.8711599999999999</v>
      </c>
      <c r="E39">
        <v>251.191</v>
      </c>
      <c r="F39" s="9">
        <v>0.667744</v>
      </c>
      <c r="H39" s="21">
        <v>251.17599999999999</v>
      </c>
      <c r="I39">
        <v>0.304977</v>
      </c>
      <c r="J39">
        <v>251.19300000000001</v>
      </c>
      <c r="K39">
        <v>0.161577</v>
      </c>
      <c r="L39">
        <v>251.19900000000001</v>
      </c>
      <c r="M39" s="9">
        <v>0.29543999999999998</v>
      </c>
      <c r="N39">
        <v>251.19200000000001</v>
      </c>
      <c r="O39">
        <v>0.449214</v>
      </c>
      <c r="P39">
        <v>251.196</v>
      </c>
      <c r="Q39">
        <v>0.30574499999999999</v>
      </c>
      <c r="R39">
        <v>251.18299999999999</v>
      </c>
      <c r="S39">
        <v>0.83591800000000005</v>
      </c>
      <c r="T39" s="21">
        <v>251.19200000000001</v>
      </c>
      <c r="U39">
        <v>0.76243399999999995</v>
      </c>
      <c r="V39">
        <v>251.19499999999999</v>
      </c>
      <c r="W39">
        <v>1.80928</v>
      </c>
      <c r="X39">
        <v>251.184</v>
      </c>
      <c r="Y39" s="9">
        <v>2.28064</v>
      </c>
      <c r="Z39">
        <v>251.196</v>
      </c>
      <c r="AA39">
        <v>0.58860599999999996</v>
      </c>
      <c r="AB39">
        <v>251.18100000000001</v>
      </c>
      <c r="AC39">
        <v>0.47659699999999999</v>
      </c>
      <c r="AD39">
        <v>251.19300000000001</v>
      </c>
      <c r="AE39">
        <v>0.68503499999999995</v>
      </c>
      <c r="AG39" s="21">
        <v>251.197</v>
      </c>
      <c r="AH39">
        <v>1.6862600000000001</v>
      </c>
      <c r="AI39">
        <v>251.19499999999999</v>
      </c>
      <c r="AJ39">
        <v>1.6193</v>
      </c>
      <c r="AK39">
        <v>251.18100000000001</v>
      </c>
      <c r="AL39" s="9">
        <v>1.65011</v>
      </c>
    </row>
    <row r="40" spans="1:38" x14ac:dyDescent="0.2">
      <c r="A40" s="81">
        <v>316.22300000000001</v>
      </c>
      <c r="B40">
        <v>0.45779199999999998</v>
      </c>
      <c r="C40">
        <v>316.21899999999999</v>
      </c>
      <c r="D40">
        <v>0.19055900000000001</v>
      </c>
      <c r="E40">
        <v>316.20999999999998</v>
      </c>
      <c r="F40" s="9">
        <v>0.55231399999999997</v>
      </c>
      <c r="H40" s="21">
        <v>316.221</v>
      </c>
      <c r="I40">
        <v>0.26432600000000001</v>
      </c>
      <c r="J40">
        <v>316.22000000000003</v>
      </c>
      <c r="K40">
        <v>0.12779799999999999</v>
      </c>
      <c r="L40">
        <v>316.233</v>
      </c>
      <c r="M40" s="9">
        <v>0.24416299999999999</v>
      </c>
      <c r="N40">
        <v>316.233</v>
      </c>
      <c r="O40">
        <v>0.429253</v>
      </c>
      <c r="P40">
        <v>316.23399999999998</v>
      </c>
      <c r="Q40">
        <v>0.25869799999999998</v>
      </c>
      <c r="R40">
        <v>316.21800000000002</v>
      </c>
      <c r="S40">
        <v>0.79226399999999997</v>
      </c>
      <c r="T40" s="21">
        <v>316.23399999999998</v>
      </c>
      <c r="U40">
        <v>0.59809999999999997</v>
      </c>
      <c r="V40">
        <v>316.233</v>
      </c>
      <c r="W40">
        <v>1.54145</v>
      </c>
      <c r="X40">
        <v>316.22300000000001</v>
      </c>
      <c r="Y40" s="9">
        <v>1.5204</v>
      </c>
      <c r="Z40">
        <v>316.23099999999999</v>
      </c>
      <c r="AA40">
        <v>0.472495</v>
      </c>
      <c r="AB40">
        <v>316.22199999999998</v>
      </c>
      <c r="AC40">
        <v>0.39467099999999999</v>
      </c>
      <c r="AD40">
        <v>316.23899999999998</v>
      </c>
      <c r="AE40">
        <v>0.55571800000000005</v>
      </c>
      <c r="AG40" s="21">
        <v>316.23500000000001</v>
      </c>
      <c r="AH40">
        <v>1.34649</v>
      </c>
      <c r="AI40">
        <v>316.22300000000001</v>
      </c>
      <c r="AJ40">
        <v>1.26892</v>
      </c>
      <c r="AK40">
        <v>316.22399999999999</v>
      </c>
      <c r="AL40" s="9">
        <v>1.3607199999999999</v>
      </c>
    </row>
    <row r="41" spans="1:38" x14ac:dyDescent="0.2">
      <c r="A41" s="81">
        <v>398.1</v>
      </c>
      <c r="B41">
        <v>0.48420200000000002</v>
      </c>
      <c r="E41">
        <v>398.09100000000001</v>
      </c>
      <c r="F41" s="9">
        <v>0.46791100000000002</v>
      </c>
      <c r="H41" s="21">
        <v>398.09399999999999</v>
      </c>
      <c r="I41">
        <v>0.22748199999999999</v>
      </c>
      <c r="J41">
        <v>398.10700000000003</v>
      </c>
      <c r="K41">
        <v>0.14471700000000001</v>
      </c>
      <c r="L41">
        <v>398.101</v>
      </c>
      <c r="M41" s="9">
        <v>0.187113</v>
      </c>
      <c r="N41">
        <v>398.125</v>
      </c>
      <c r="O41">
        <v>0.45876400000000001</v>
      </c>
      <c r="P41">
        <v>398.12400000000002</v>
      </c>
      <c r="Q41">
        <v>0.22256799999999999</v>
      </c>
      <c r="R41">
        <v>398.1</v>
      </c>
      <c r="S41">
        <v>0.78975799999999996</v>
      </c>
      <c r="T41" s="21">
        <v>398.11399999999998</v>
      </c>
      <c r="U41">
        <v>0.47579100000000002</v>
      </c>
      <c r="V41">
        <v>398.09300000000002</v>
      </c>
      <c r="W41">
        <v>1.3879300000000001</v>
      </c>
      <c r="X41">
        <v>398.10500000000002</v>
      </c>
      <c r="Y41" s="9">
        <v>1.2681500000000001</v>
      </c>
      <c r="Z41">
        <v>398.12599999999998</v>
      </c>
      <c r="AA41">
        <v>0.38487500000000002</v>
      </c>
      <c r="AB41">
        <v>398.10300000000001</v>
      </c>
      <c r="AC41">
        <v>0.32455200000000001</v>
      </c>
      <c r="AD41">
        <v>398.12</v>
      </c>
      <c r="AE41">
        <v>0.442222</v>
      </c>
      <c r="AG41" s="21">
        <v>398.10599999999999</v>
      </c>
      <c r="AH41">
        <v>1.1230500000000001</v>
      </c>
      <c r="AI41">
        <v>398.12200000000001</v>
      </c>
      <c r="AJ41">
        <v>1.0002200000000001</v>
      </c>
      <c r="AK41">
        <v>398.11099999999999</v>
      </c>
      <c r="AL41" s="9">
        <v>1.1684600000000001</v>
      </c>
    </row>
    <row r="42" spans="1:38" x14ac:dyDescent="0.2">
      <c r="A42" s="81">
        <v>501.18900000000002</v>
      </c>
      <c r="B42">
        <v>0.47193499999999999</v>
      </c>
      <c r="E42">
        <v>501.17500000000001</v>
      </c>
      <c r="F42" s="9">
        <v>0.39090399999999997</v>
      </c>
      <c r="H42" s="21">
        <v>501.17399999999998</v>
      </c>
      <c r="I42">
        <v>0.19714300000000001</v>
      </c>
      <c r="J42">
        <v>501.18099999999998</v>
      </c>
      <c r="K42">
        <v>0.147451</v>
      </c>
      <c r="L42">
        <v>501.18799999999999</v>
      </c>
      <c r="M42" s="9">
        <v>0.12789200000000001</v>
      </c>
      <c r="N42">
        <v>501.19099999999997</v>
      </c>
      <c r="O42">
        <v>0.45955299999999999</v>
      </c>
      <c r="P42">
        <v>501.20699999999999</v>
      </c>
      <c r="Q42">
        <v>0.198099</v>
      </c>
      <c r="R42">
        <v>501.19099999999997</v>
      </c>
      <c r="S42">
        <v>0.80737700000000001</v>
      </c>
      <c r="T42" s="21">
        <v>501.19900000000001</v>
      </c>
      <c r="U42">
        <v>0.39286500000000002</v>
      </c>
      <c r="V42">
        <v>501.18099999999998</v>
      </c>
      <c r="W42">
        <v>1.2589600000000001</v>
      </c>
      <c r="X42">
        <v>501.19099999999997</v>
      </c>
      <c r="Y42" s="9">
        <v>1.0818399999999999</v>
      </c>
      <c r="Z42">
        <v>501.18299999999999</v>
      </c>
      <c r="AA42">
        <v>0.319795</v>
      </c>
      <c r="AB42">
        <v>501.17200000000003</v>
      </c>
      <c r="AC42">
        <v>0.27005299999999999</v>
      </c>
      <c r="AD42">
        <v>501.20400000000001</v>
      </c>
      <c r="AE42">
        <v>0.36013000000000001</v>
      </c>
      <c r="AG42" s="21">
        <v>501.20800000000003</v>
      </c>
      <c r="AH42">
        <v>0.95838299999999998</v>
      </c>
      <c r="AI42">
        <v>501.17899999999997</v>
      </c>
      <c r="AJ42">
        <v>0.79196900000000003</v>
      </c>
      <c r="AK42">
        <v>501.18900000000002</v>
      </c>
      <c r="AL42" s="9">
        <v>0.95763699999999996</v>
      </c>
    </row>
    <row r="43" spans="1:38" x14ac:dyDescent="0.2">
      <c r="A43" s="81">
        <v>630.94799999999998</v>
      </c>
      <c r="B43">
        <v>0.34836499999999998</v>
      </c>
      <c r="E43">
        <v>630.94299999999998</v>
      </c>
      <c r="F43" s="9">
        <v>0.32788299999999998</v>
      </c>
      <c r="H43" s="21">
        <v>630.94299999999998</v>
      </c>
      <c r="I43">
        <v>0.16942099999999999</v>
      </c>
      <c r="J43">
        <v>630.97</v>
      </c>
      <c r="K43">
        <v>0.17624100000000001</v>
      </c>
      <c r="L43">
        <v>630.95299999999997</v>
      </c>
      <c r="M43" s="9">
        <v>9.5563899999999993E-2</v>
      </c>
      <c r="N43">
        <v>630.96600000000001</v>
      </c>
      <c r="O43">
        <v>0.34405400000000003</v>
      </c>
      <c r="P43">
        <v>630.98400000000004</v>
      </c>
      <c r="Q43">
        <v>0.17974399999999999</v>
      </c>
      <c r="R43">
        <v>630.93600000000004</v>
      </c>
      <c r="S43">
        <v>0.89213100000000001</v>
      </c>
      <c r="T43" s="21">
        <v>630.96299999999997</v>
      </c>
      <c r="U43">
        <v>0.33247599999999999</v>
      </c>
      <c r="V43">
        <v>630.95699999999999</v>
      </c>
      <c r="W43">
        <v>1.14846</v>
      </c>
      <c r="X43">
        <v>630.95299999999997</v>
      </c>
      <c r="Y43" s="9">
        <v>0.84552099999999997</v>
      </c>
      <c r="Z43">
        <v>630.93600000000004</v>
      </c>
      <c r="AA43">
        <v>0.27096300000000001</v>
      </c>
      <c r="AB43">
        <v>630.95000000000005</v>
      </c>
      <c r="AC43">
        <v>0.22670199999999999</v>
      </c>
      <c r="AD43">
        <v>630.976</v>
      </c>
      <c r="AE43">
        <v>0.29285</v>
      </c>
      <c r="AG43" s="21">
        <v>630.995</v>
      </c>
      <c r="AH43">
        <v>0.78185099999999996</v>
      </c>
      <c r="AI43">
        <v>630.96900000000005</v>
      </c>
      <c r="AJ43">
        <v>0.65013900000000002</v>
      </c>
      <c r="AK43">
        <v>630.95699999999999</v>
      </c>
      <c r="AL43" s="9">
        <v>0.75554600000000005</v>
      </c>
    </row>
    <row r="44" spans="1:38" x14ac:dyDescent="0.2">
      <c r="A44" s="81">
        <v>794.322</v>
      </c>
      <c r="B44">
        <v>0.244342</v>
      </c>
      <c r="E44">
        <v>794.29499999999996</v>
      </c>
      <c r="F44" s="9">
        <v>9.7172300000000003E-2</v>
      </c>
      <c r="H44" s="21">
        <v>794.33299999999997</v>
      </c>
      <c r="I44">
        <v>0.15013199999999999</v>
      </c>
      <c r="J44">
        <v>794.33399999999995</v>
      </c>
      <c r="K44">
        <v>0.116511</v>
      </c>
      <c r="L44">
        <v>794.33199999999999</v>
      </c>
      <c r="M44" s="9">
        <v>7.2371400000000002E-2</v>
      </c>
      <c r="N44">
        <v>794.35400000000004</v>
      </c>
      <c r="O44">
        <v>0.15969900000000001</v>
      </c>
      <c r="P44">
        <v>794.38499999999999</v>
      </c>
      <c r="Q44">
        <v>0.162494</v>
      </c>
      <c r="R44">
        <v>794.30899999999997</v>
      </c>
      <c r="S44">
        <v>0.67832899999999996</v>
      </c>
      <c r="T44" s="21">
        <v>794.37099999999998</v>
      </c>
      <c r="U44">
        <v>0.286497</v>
      </c>
      <c r="V44">
        <v>794.28399999999999</v>
      </c>
      <c r="W44">
        <v>0.105473</v>
      </c>
      <c r="X44">
        <v>794.30600000000004</v>
      </c>
      <c r="Y44" s="9">
        <v>0.56880399999999998</v>
      </c>
      <c r="Z44">
        <v>794.33699999999999</v>
      </c>
      <c r="AA44">
        <v>0.240172</v>
      </c>
      <c r="AB44">
        <v>794.27700000000004</v>
      </c>
      <c r="AC44">
        <v>0.19270100000000001</v>
      </c>
      <c r="AD44">
        <v>794.39</v>
      </c>
      <c r="AE44">
        <v>0.24249799999999999</v>
      </c>
      <c r="AG44" s="21">
        <v>794.35</v>
      </c>
      <c r="AH44">
        <v>3.7598600000000003E-2</v>
      </c>
      <c r="AI44">
        <v>794.327</v>
      </c>
      <c r="AJ44">
        <v>0.536717</v>
      </c>
      <c r="AK44">
        <v>794.35400000000004</v>
      </c>
      <c r="AL44" s="9">
        <v>0.61663900000000005</v>
      </c>
    </row>
    <row r="45" spans="1:38" x14ac:dyDescent="0.2">
      <c r="A45" s="82">
        <v>1000.03</v>
      </c>
      <c r="B45" s="11">
        <v>0.19433800000000001</v>
      </c>
      <c r="C45" s="11"/>
      <c r="D45" s="11"/>
      <c r="E45" s="11">
        <v>999.94799999999998</v>
      </c>
      <c r="F45" s="12">
        <v>3.3965700000000001E-2</v>
      </c>
      <c r="H45" s="23">
        <v>999.97799999999995</v>
      </c>
      <c r="I45" s="11">
        <v>0.13255500000000001</v>
      </c>
      <c r="J45" s="11">
        <v>999.99599999999998</v>
      </c>
      <c r="K45" s="11">
        <v>6.8977300000000005E-2</v>
      </c>
      <c r="L45" s="11">
        <v>1000.01</v>
      </c>
      <c r="M45" s="12">
        <v>5.3954000000000002E-2</v>
      </c>
      <c r="N45">
        <v>1000.05</v>
      </c>
      <c r="O45">
        <v>0.141509</v>
      </c>
      <c r="P45">
        <v>1000.04</v>
      </c>
      <c r="Q45">
        <v>0.15231800000000001</v>
      </c>
      <c r="R45">
        <v>999.98099999999999</v>
      </c>
      <c r="S45">
        <v>0.48696800000000001</v>
      </c>
      <c r="T45" s="23">
        <v>1000</v>
      </c>
      <c r="U45" s="11">
        <v>0.25915700000000003</v>
      </c>
      <c r="V45" s="11">
        <v>1000.02</v>
      </c>
      <c r="W45" s="11">
        <v>9.5612500000000005E-4</v>
      </c>
      <c r="X45" s="11">
        <v>1000.06</v>
      </c>
      <c r="Y45" s="12">
        <v>0.41650199999999998</v>
      </c>
      <c r="Z45">
        <v>1000.01</v>
      </c>
      <c r="AA45">
        <v>0.218779</v>
      </c>
      <c r="AB45">
        <v>999.97</v>
      </c>
      <c r="AC45">
        <v>0.163686</v>
      </c>
      <c r="AD45">
        <v>1000.03</v>
      </c>
      <c r="AE45">
        <v>0.20272499999999999</v>
      </c>
      <c r="AG45" s="23">
        <v>1000.02</v>
      </c>
      <c r="AH45" s="11">
        <v>1.29245E-2</v>
      </c>
      <c r="AI45" s="11">
        <v>1000.04</v>
      </c>
      <c r="AJ45" s="11">
        <v>0.44064999999999999</v>
      </c>
      <c r="AK45" s="11">
        <v>1000.01</v>
      </c>
      <c r="AL45" s="12">
        <v>0.456847</v>
      </c>
    </row>
  </sheetData>
  <mergeCells count="9">
    <mergeCell ref="A1:F1"/>
    <mergeCell ref="A2:F2"/>
    <mergeCell ref="Z2:AE2"/>
    <mergeCell ref="H1:AE1"/>
    <mergeCell ref="AG1:AL1"/>
    <mergeCell ref="AG2:AL2"/>
    <mergeCell ref="H2:M2"/>
    <mergeCell ref="N2:S2"/>
    <mergeCell ref="T2:Y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6"/>
  <sheetViews>
    <sheetView workbookViewId="0">
      <selection activeCell="E22" sqref="E22"/>
    </sheetView>
  </sheetViews>
  <sheetFormatPr baseColWidth="10" defaultColWidth="11" defaultRowHeight="16" x14ac:dyDescent="0.2"/>
  <sheetData>
    <row r="1" spans="1:17" ht="21" x14ac:dyDescent="0.25">
      <c r="A1" s="91" t="s">
        <v>32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</row>
    <row r="2" spans="1:17" x14ac:dyDescent="0.2">
      <c r="A2" s="95" t="s">
        <v>33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</row>
    <row r="4" spans="1:17" ht="34" x14ac:dyDescent="0.2">
      <c r="C4" s="96" t="s">
        <v>34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36" t="s">
        <v>1</v>
      </c>
      <c r="P4" s="53" t="s">
        <v>31</v>
      </c>
      <c r="Q4" s="54" t="s">
        <v>2</v>
      </c>
    </row>
    <row r="5" spans="1:17" x14ac:dyDescent="0.2">
      <c r="A5" s="5">
        <v>0.1</v>
      </c>
      <c r="B5" t="s">
        <v>82</v>
      </c>
      <c r="C5">
        <v>14.065</v>
      </c>
      <c r="D5">
        <v>11.725</v>
      </c>
      <c r="E5">
        <v>13.98</v>
      </c>
      <c r="F5">
        <v>13.198</v>
      </c>
      <c r="G5" s="4">
        <v>13.3</v>
      </c>
      <c r="H5" s="4">
        <v>12.347</v>
      </c>
      <c r="I5" s="4">
        <v>9.2919999999999998</v>
      </c>
      <c r="J5" s="4">
        <v>10.127000000000001</v>
      </c>
      <c r="K5" s="4">
        <v>10.968999999999999</v>
      </c>
      <c r="L5" s="4">
        <v>12.087999999999999</v>
      </c>
      <c r="M5" s="4">
        <v>15.021000000000001</v>
      </c>
      <c r="N5" s="4">
        <v>17.806000000000001</v>
      </c>
      <c r="O5">
        <v>12</v>
      </c>
      <c r="P5">
        <f>SUM(C5:N5)/12</f>
        <v>12.826499999999998</v>
      </c>
      <c r="Q5">
        <f>STDEV(C5,D5,E5,F5,G5,H5,I5,J5,K5,L5,M5,N5)</f>
        <v>2.297366298414544</v>
      </c>
    </row>
    <row r="6" spans="1:17" x14ac:dyDescent="0.2">
      <c r="B6" t="s">
        <v>83</v>
      </c>
      <c r="C6">
        <v>21.061</v>
      </c>
      <c r="D6">
        <v>24.457999999999998</v>
      </c>
      <c r="E6">
        <v>21.459</v>
      </c>
      <c r="F6">
        <v>31.623999999999999</v>
      </c>
      <c r="G6">
        <v>21.4</v>
      </c>
      <c r="H6">
        <v>24.398</v>
      </c>
      <c r="I6">
        <v>29.981000000000002</v>
      </c>
      <c r="J6">
        <v>35.514000000000003</v>
      </c>
      <c r="K6">
        <v>30.137</v>
      </c>
      <c r="L6" s="4">
        <v>32.235999999999997</v>
      </c>
      <c r="M6" s="4">
        <v>36.061999999999998</v>
      </c>
      <c r="N6" s="4">
        <v>34.898000000000003</v>
      </c>
      <c r="O6">
        <v>12</v>
      </c>
      <c r="P6">
        <f t="shared" ref="P6" si="0">SUM(C6:N6)/12</f>
        <v>28.602333333333334</v>
      </c>
      <c r="Q6">
        <f t="shared" ref="Q6" si="1">STDEV(C6,D6,E6,F6,G6,H6,I6,J6,K6,L6,M6,N6)</f>
        <v>5.7545835538975165</v>
      </c>
    </row>
    <row r="7" spans="1:17" x14ac:dyDescent="0.2">
      <c r="B7" t="s">
        <v>84</v>
      </c>
      <c r="C7">
        <v>33.588000000000001</v>
      </c>
      <c r="D7">
        <v>37.508000000000003</v>
      </c>
      <c r="E7">
        <v>38.735999999999997</v>
      </c>
      <c r="F7">
        <v>38.771999999999998</v>
      </c>
      <c r="G7">
        <v>43.411000000000001</v>
      </c>
      <c r="H7">
        <v>41.094999999999999</v>
      </c>
      <c r="I7">
        <v>42.793999999999997</v>
      </c>
      <c r="J7">
        <v>42.418999999999997</v>
      </c>
      <c r="K7" s="4">
        <v>35.399000000000001</v>
      </c>
      <c r="L7" s="4">
        <v>42.158000000000001</v>
      </c>
      <c r="M7" s="4">
        <v>38.046999999999997</v>
      </c>
      <c r="N7" s="4">
        <v>46.345999999999997</v>
      </c>
      <c r="O7">
        <v>12</v>
      </c>
      <c r="P7">
        <f t="shared" ref="P7:P16" si="2">SUM(C7:N7)/12</f>
        <v>40.022750000000002</v>
      </c>
      <c r="Q7">
        <f t="shared" ref="Q7:Q16" si="3">STDEV(C7,D7,E7,F7,G7,H7,I7,J7,K7,L7,M7,N7)</f>
        <v>3.6534828992968529</v>
      </c>
    </row>
    <row r="8" spans="1:17" x14ac:dyDescent="0.2">
      <c r="B8" s="11" t="s">
        <v>85</v>
      </c>
      <c r="C8">
        <v>25.654</v>
      </c>
      <c r="D8">
        <v>25.661000000000001</v>
      </c>
      <c r="E8">
        <v>25.547000000000001</v>
      </c>
      <c r="F8">
        <v>27.629000000000001</v>
      </c>
      <c r="G8">
        <v>17.719000000000001</v>
      </c>
      <c r="H8">
        <v>25.82</v>
      </c>
      <c r="I8">
        <v>26.702999999999999</v>
      </c>
      <c r="J8">
        <v>27.792000000000002</v>
      </c>
      <c r="K8" s="4">
        <v>21.338999999999999</v>
      </c>
      <c r="L8" s="4">
        <v>24.373000000000001</v>
      </c>
      <c r="M8" s="4">
        <v>28.47</v>
      </c>
      <c r="N8" s="4">
        <v>26.2</v>
      </c>
      <c r="O8" s="4">
        <v>12</v>
      </c>
      <c r="P8">
        <f t="shared" si="2"/>
        <v>25.242249999999999</v>
      </c>
      <c r="Q8">
        <f t="shared" si="3"/>
        <v>3.0004401230183211</v>
      </c>
    </row>
    <row r="9" spans="1:17" x14ac:dyDescent="0.2">
      <c r="A9" s="66">
        <v>0.15</v>
      </c>
      <c r="B9" t="s">
        <v>82</v>
      </c>
      <c r="C9" s="19">
        <v>33.930999999999997</v>
      </c>
      <c r="D9" s="19">
        <v>31.597999999999999</v>
      </c>
      <c r="E9" s="19">
        <v>28.640999999999998</v>
      </c>
      <c r="F9" s="19">
        <v>32.389000000000003</v>
      </c>
      <c r="G9" s="19">
        <v>22.613</v>
      </c>
      <c r="H9" s="19">
        <v>37.125</v>
      </c>
      <c r="I9" s="19">
        <v>29.638000000000002</v>
      </c>
      <c r="J9" s="19">
        <v>22.948</v>
      </c>
      <c r="K9" s="67">
        <v>34.506999999999998</v>
      </c>
      <c r="L9" s="67">
        <v>43.015000000000001</v>
      </c>
      <c r="M9" s="67">
        <v>38.796999999999997</v>
      </c>
      <c r="N9" s="67">
        <v>41.148000000000003</v>
      </c>
      <c r="O9" s="19">
        <v>12</v>
      </c>
      <c r="P9" s="19">
        <f t="shared" si="2"/>
        <v>33.029166666666669</v>
      </c>
      <c r="Q9" s="20">
        <f t="shared" si="3"/>
        <v>6.480838102834511</v>
      </c>
    </row>
    <row r="10" spans="1:17" x14ac:dyDescent="0.2">
      <c r="A10" s="21"/>
      <c r="B10" t="s">
        <v>83</v>
      </c>
      <c r="C10">
        <v>52.720999999999997</v>
      </c>
      <c r="D10">
        <v>59.375</v>
      </c>
      <c r="E10">
        <v>50.137</v>
      </c>
      <c r="F10">
        <v>59.642000000000003</v>
      </c>
      <c r="G10">
        <v>74.728999999999999</v>
      </c>
      <c r="H10">
        <v>70.572999999999993</v>
      </c>
      <c r="I10">
        <v>41.966999999999999</v>
      </c>
      <c r="J10">
        <v>41.174999999999997</v>
      </c>
      <c r="K10">
        <v>49.348999999999997</v>
      </c>
      <c r="L10">
        <v>40.552</v>
      </c>
      <c r="M10">
        <v>65.195999999999998</v>
      </c>
      <c r="N10">
        <v>69.528000000000006</v>
      </c>
      <c r="O10">
        <v>12</v>
      </c>
      <c r="P10">
        <f t="shared" si="2"/>
        <v>56.245333333333328</v>
      </c>
      <c r="Q10" s="9">
        <f t="shared" si="3"/>
        <v>12.058050221802695</v>
      </c>
    </row>
    <row r="11" spans="1:17" x14ac:dyDescent="0.2">
      <c r="A11" s="21"/>
      <c r="B11" t="s">
        <v>84</v>
      </c>
      <c r="C11">
        <v>112.32899999999999</v>
      </c>
      <c r="D11">
        <v>113.607</v>
      </c>
      <c r="E11">
        <v>114.508</v>
      </c>
      <c r="F11">
        <v>93.856999999999999</v>
      </c>
      <c r="G11">
        <v>91.861999999999995</v>
      </c>
      <c r="H11">
        <v>113.255</v>
      </c>
      <c r="I11">
        <v>89.033000000000001</v>
      </c>
      <c r="J11">
        <v>92.911000000000001</v>
      </c>
      <c r="K11">
        <v>94.147999999999996</v>
      </c>
      <c r="L11">
        <v>99.022000000000006</v>
      </c>
      <c r="M11">
        <v>95.528999999999996</v>
      </c>
      <c r="N11">
        <v>102.874</v>
      </c>
      <c r="O11">
        <v>12</v>
      </c>
      <c r="P11">
        <f t="shared" si="2"/>
        <v>101.07791666666667</v>
      </c>
      <c r="Q11" s="9">
        <f t="shared" si="3"/>
        <v>9.7576708049553886</v>
      </c>
    </row>
    <row r="12" spans="1:17" x14ac:dyDescent="0.2">
      <c r="A12" s="23"/>
      <c r="B12" s="11" t="s">
        <v>85</v>
      </c>
      <c r="C12" s="11">
        <v>88.289000000000001</v>
      </c>
      <c r="D12" s="11">
        <v>82.429000000000002</v>
      </c>
      <c r="E12" s="11">
        <v>95.602000000000004</v>
      </c>
      <c r="F12" s="11">
        <v>86.153000000000006</v>
      </c>
      <c r="G12" s="11">
        <v>104.241</v>
      </c>
      <c r="H12" s="11">
        <v>101.464</v>
      </c>
      <c r="I12" s="11">
        <v>108.02200000000001</v>
      </c>
      <c r="J12" s="11">
        <v>99.340999999999994</v>
      </c>
      <c r="K12" s="11">
        <v>89.656000000000006</v>
      </c>
      <c r="L12" s="11">
        <v>91.768000000000001</v>
      </c>
      <c r="M12" s="11">
        <v>95.498000000000005</v>
      </c>
      <c r="N12" s="11">
        <v>99.745000000000005</v>
      </c>
      <c r="O12" s="11">
        <v>12</v>
      </c>
      <c r="P12" s="11">
        <f t="shared" si="2"/>
        <v>95.184000000000012</v>
      </c>
      <c r="Q12" s="12">
        <f t="shared" si="3"/>
        <v>7.7380784201482227</v>
      </c>
    </row>
    <row r="13" spans="1:17" x14ac:dyDescent="0.2">
      <c r="A13" s="5">
        <v>0.2</v>
      </c>
      <c r="B13" t="s">
        <v>82</v>
      </c>
      <c r="C13">
        <v>53.526000000000003</v>
      </c>
      <c r="D13">
        <v>49.02</v>
      </c>
      <c r="E13">
        <v>32.44</v>
      </c>
      <c r="F13">
        <v>48.59</v>
      </c>
      <c r="G13">
        <v>48.771000000000001</v>
      </c>
      <c r="H13">
        <v>39.564</v>
      </c>
      <c r="I13">
        <v>42.887999999999998</v>
      </c>
      <c r="J13">
        <v>43.488</v>
      </c>
      <c r="K13">
        <v>45.982999999999997</v>
      </c>
      <c r="L13">
        <v>51.75</v>
      </c>
      <c r="M13">
        <v>58.463000000000001</v>
      </c>
      <c r="N13">
        <v>50.914000000000001</v>
      </c>
      <c r="O13">
        <v>12</v>
      </c>
      <c r="P13">
        <f t="shared" si="2"/>
        <v>47.116416666666659</v>
      </c>
      <c r="Q13">
        <f t="shared" si="3"/>
        <v>6.8690208440549458</v>
      </c>
    </row>
    <row r="14" spans="1:17" x14ac:dyDescent="0.2">
      <c r="B14" t="s">
        <v>83</v>
      </c>
      <c r="C14">
        <v>116.206</v>
      </c>
      <c r="D14">
        <v>128.66900000000001</v>
      </c>
      <c r="E14">
        <v>106.545</v>
      </c>
      <c r="F14">
        <v>112.267</v>
      </c>
      <c r="G14">
        <v>149.357</v>
      </c>
      <c r="H14">
        <v>127.65600000000001</v>
      </c>
      <c r="I14">
        <v>111.589</v>
      </c>
      <c r="J14">
        <v>131.53299999999999</v>
      </c>
      <c r="K14">
        <v>129.53399999999999</v>
      </c>
      <c r="L14">
        <v>148.68</v>
      </c>
      <c r="M14">
        <v>129.143</v>
      </c>
      <c r="N14">
        <v>136.97499999999999</v>
      </c>
      <c r="O14">
        <v>12</v>
      </c>
      <c r="P14">
        <f t="shared" si="2"/>
        <v>127.34616666666666</v>
      </c>
      <c r="Q14">
        <f t="shared" si="3"/>
        <v>13.791221712862685</v>
      </c>
    </row>
    <row r="15" spans="1:17" x14ac:dyDescent="0.2">
      <c r="B15" t="s">
        <v>84</v>
      </c>
      <c r="C15">
        <v>148.357</v>
      </c>
      <c r="D15">
        <v>189.999</v>
      </c>
      <c r="E15">
        <v>168.893</v>
      </c>
      <c r="F15">
        <v>199.56</v>
      </c>
      <c r="G15">
        <v>216.899</v>
      </c>
      <c r="H15">
        <v>213.697</v>
      </c>
      <c r="I15">
        <v>202.65100000000001</v>
      </c>
      <c r="J15">
        <v>221.53700000000001</v>
      </c>
      <c r="K15" s="4">
        <v>154.41900000000001</v>
      </c>
      <c r="L15">
        <v>202.9</v>
      </c>
      <c r="M15">
        <v>204.92599999999999</v>
      </c>
      <c r="N15">
        <v>196.749</v>
      </c>
      <c r="O15">
        <v>12</v>
      </c>
      <c r="P15">
        <f t="shared" si="2"/>
        <v>193.38225</v>
      </c>
      <c r="Q15">
        <f t="shared" si="3"/>
        <v>23.882761634606876</v>
      </c>
    </row>
    <row r="16" spans="1:17" x14ac:dyDescent="0.2">
      <c r="B16" t="s">
        <v>85</v>
      </c>
      <c r="C16">
        <v>161.03700000000001</v>
      </c>
      <c r="D16">
        <v>160.411</v>
      </c>
      <c r="E16">
        <v>176.459</v>
      </c>
      <c r="F16">
        <v>154.34700000000001</v>
      </c>
      <c r="G16">
        <v>230.27699999999999</v>
      </c>
      <c r="H16">
        <v>208.685</v>
      </c>
      <c r="I16">
        <v>206.577</v>
      </c>
      <c r="J16">
        <v>208.99600000000001</v>
      </c>
      <c r="K16">
        <v>169.03899999999999</v>
      </c>
      <c r="L16">
        <v>170.74799999999999</v>
      </c>
      <c r="M16">
        <v>206.83600000000001</v>
      </c>
      <c r="N16">
        <v>159.24100000000001</v>
      </c>
      <c r="O16">
        <v>12</v>
      </c>
      <c r="P16">
        <f t="shared" si="2"/>
        <v>184.38775000000001</v>
      </c>
      <c r="Q16">
        <f t="shared" si="3"/>
        <v>26.002573439512972</v>
      </c>
    </row>
  </sheetData>
  <mergeCells count="3">
    <mergeCell ref="A1:Q1"/>
    <mergeCell ref="A2:Q2"/>
    <mergeCell ref="C4:N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AcousticImpedance</vt:lpstr>
      <vt:lpstr>AttenuationCoefficients</vt:lpstr>
      <vt:lpstr>BulkModulus</vt:lpstr>
      <vt:lpstr>Density</vt:lpstr>
      <vt:lpstr>PoissonsRatio</vt:lpstr>
      <vt:lpstr>SpeedOfSound</vt:lpstr>
      <vt:lpstr>Viscosities</vt:lpstr>
      <vt:lpstr>YoungsModulus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Anderson</dc:creator>
  <cp:lastModifiedBy>Jariwala, Megan Anderson</cp:lastModifiedBy>
  <dcterms:created xsi:type="dcterms:W3CDTF">2022-11-09T14:54:37Z</dcterms:created>
  <dcterms:modified xsi:type="dcterms:W3CDTF">2024-07-31T03:54:01Z</dcterms:modified>
</cp:coreProperties>
</file>