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anderson/Library/CloudStorage/GoogleDrive-andersonm@gwmail.gwu.edu/My Drive/Projects &amp; Publications/GelMA characterization/AcousticViscoelasticity_PaperDrafts/AcousticViscoelasticityPaper_SubmissionMaterials/"/>
    </mc:Choice>
  </mc:AlternateContent>
  <xr:revisionPtr revIDLastSave="0" documentId="13_ncr:1_{4A96A2BF-C81F-BD44-891C-DC938F82A492}" xr6:coauthVersionLast="47" xr6:coauthVersionMax="47" xr10:uidLastSave="{00000000-0000-0000-0000-000000000000}"/>
  <bookViews>
    <workbookView xWindow="-49480" yWindow="-5500" windowWidth="27620" windowHeight="23960" xr2:uid="{D964FCFD-5EF3-7B48-807F-D8F1EF96DD12}"/>
  </bookViews>
  <sheets>
    <sheet name="AttenuationCoefficients" sheetId="1" r:id="rId1"/>
    <sheet name="BulkModulus" sheetId="2" r:id="rId2"/>
    <sheet name="Density" sheetId="3" r:id="rId3"/>
    <sheet name="SpeedOfSound" sheetId="4" r:id="rId4"/>
    <sheet name="Viscosities" sheetId="5" r:id="rId5"/>
    <sheet name="YoungsModulus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6" l="1"/>
  <c r="H6" i="6"/>
  <c r="H5" i="6"/>
  <c r="G7" i="6"/>
  <c r="G6" i="6"/>
  <c r="G5" i="6"/>
  <c r="Y6" i="4"/>
  <c r="Y7" i="4"/>
  <c r="Y5" i="4"/>
  <c r="X6" i="4"/>
  <c r="X7" i="4"/>
  <c r="X5" i="4"/>
  <c r="J18" i="3" l="1"/>
  <c r="J12" i="3"/>
  <c r="J6" i="3"/>
  <c r="K18" i="3"/>
  <c r="K12" i="3"/>
  <c r="K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H12" i="3"/>
  <c r="H13" i="3"/>
  <c r="H14" i="3"/>
  <c r="H15" i="3"/>
  <c r="H16" i="3"/>
  <c r="H17" i="3"/>
  <c r="H18" i="3"/>
  <c r="H19" i="3"/>
  <c r="H20" i="3"/>
  <c r="H21" i="3"/>
  <c r="H22" i="3"/>
  <c r="H23" i="3"/>
  <c r="G12" i="3"/>
  <c r="G13" i="3"/>
  <c r="G14" i="3"/>
  <c r="G15" i="3"/>
  <c r="G16" i="3"/>
  <c r="G17" i="3"/>
  <c r="G18" i="3"/>
  <c r="G19" i="3"/>
  <c r="G20" i="3"/>
  <c r="G21" i="3"/>
  <c r="G22" i="3"/>
  <c r="G23" i="3"/>
  <c r="H7" i="3"/>
  <c r="H8" i="3"/>
  <c r="H9" i="3"/>
  <c r="H10" i="3"/>
  <c r="H11" i="3"/>
  <c r="G7" i="3"/>
  <c r="G8" i="3"/>
  <c r="G9" i="3"/>
  <c r="G10" i="3"/>
  <c r="G11" i="3"/>
  <c r="H6" i="3" l="1"/>
  <c r="G6" i="3"/>
  <c r="I7" i="2"/>
  <c r="H7" i="2"/>
  <c r="I6" i="2"/>
  <c r="H6" i="2"/>
  <c r="H5" i="2"/>
  <c r="I6" i="3" l="1"/>
  <c r="I5" i="2"/>
</calcChain>
</file>

<file path=xl/sharedStrings.xml><?xml version="1.0" encoding="utf-8"?>
<sst xmlns="http://schemas.openxmlformats.org/spreadsheetml/2006/main" count="128" uniqueCount="60">
  <si>
    <t>Attenuation coefficients</t>
  </si>
  <si>
    <t>freq (MHz)</t>
  </si>
  <si>
    <t>0% GelMA</t>
  </si>
  <si>
    <t>Error 0% GelMA</t>
  </si>
  <si>
    <t>5% GelMA</t>
  </si>
  <si>
    <t xml:space="preserve"> 0% GelMA</t>
  </si>
  <si>
    <t>Error 5% GelMA</t>
  </si>
  <si>
    <t>10% GelMA</t>
  </si>
  <si>
    <t>Error 10% GelMA</t>
  </si>
  <si>
    <t>Bulk Modulus</t>
  </si>
  <si>
    <t>Avg Speed of Sound</t>
  </si>
  <si>
    <t>Standard deviation</t>
  </si>
  <si>
    <t xml:space="preserve">Density of hydrogel </t>
  </si>
  <si>
    <t>Bulk modulus</t>
  </si>
  <si>
    <t xml:space="preserve">Standard deviation  </t>
  </si>
  <si>
    <t>m/s</t>
  </si>
  <si>
    <t>g/cm^3</t>
  </si>
  <si>
    <t>kg/m^3</t>
  </si>
  <si>
    <t>GPa</t>
  </si>
  <si>
    <t xml:space="preserve">10% PEGDA (60 s curing time) attenuation coefficients (dB/cm) </t>
  </si>
  <si>
    <t>10% PEGDA (60 s curing time)</t>
  </si>
  <si>
    <t>GelMA</t>
  </si>
  <si>
    <t>Density calculations using the buoyancy principle</t>
  </si>
  <si>
    <t xml:space="preserve">With wire </t>
  </si>
  <si>
    <t xml:space="preserve">Without wire </t>
  </si>
  <si>
    <t>Sample type</t>
  </si>
  <si>
    <t>Density of fluid</t>
  </si>
  <si>
    <t>Object weight</t>
  </si>
  <si>
    <t>Immersed object weight</t>
  </si>
  <si>
    <t>Wire weight</t>
  </si>
  <si>
    <t>Immersed wire weight</t>
  </si>
  <si>
    <t>Density of object</t>
  </si>
  <si>
    <t>Avg density</t>
  </si>
  <si>
    <t>p_f (g/mL)</t>
  </si>
  <si>
    <t xml:space="preserve">m_0 (g) </t>
  </si>
  <si>
    <t xml:space="preserve">m_i (g) </t>
  </si>
  <si>
    <t xml:space="preserve">(g) </t>
  </si>
  <si>
    <t xml:space="preserve">p_0 (g/mL) </t>
  </si>
  <si>
    <t>g/mL</t>
  </si>
  <si>
    <t xml:space="preserve">These measurements were performed on PEGDA  samples (60 s curing time)  hydrated in pure water. The fluids used for immersing the samples were water (density of 1 g/mL) and ethyl alcohol (density of 0.789 g/mL). </t>
  </si>
  <si>
    <t>10% PEGDA</t>
  </si>
  <si>
    <t>Speed of sound from acoustic measurements</t>
  </si>
  <si>
    <t xml:space="preserve">These calculations were performed using MATLAB. </t>
  </si>
  <si>
    <t xml:space="preserve">Speed of sound (m/s) </t>
  </si>
  <si>
    <t>Number of runs</t>
  </si>
  <si>
    <t>Shear rate</t>
  </si>
  <si>
    <t>Viscosity</t>
  </si>
  <si>
    <t>1/s</t>
  </si>
  <si>
    <t>Pa.s</t>
  </si>
  <si>
    <t>10% PEGDA 60 s curing time</t>
  </si>
  <si>
    <t xml:space="preserve">Young's modulus values from compression testing data </t>
  </si>
  <si>
    <t>Young's moduli (kPa)</t>
  </si>
  <si>
    <t># Runs</t>
  </si>
  <si>
    <t>Avg (kPa)</t>
  </si>
  <si>
    <t>Standard Deviation</t>
  </si>
  <si>
    <t>Viscosities</t>
  </si>
  <si>
    <t>10% PEGDA + 5% GelMA</t>
  </si>
  <si>
    <t>10% PEGDA + 10% GelMA</t>
  </si>
  <si>
    <t xml:space="preserve">Values are averaged over 5 runs from 4 samples of each sample group   </t>
  </si>
  <si>
    <t>Strains of 1-5% were considered to be in the linear regime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</si>
</sst>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2" borderId="0" xfId="0" applyFont="1" applyFill="1" applyAlignment="1">
      <alignment horizontal="left"/>
    </xf>
    <xf numFmtId="9" fontId="2" fillId="3" borderId="0" xfId="0" applyNumberFormat="1" applyFont="1" applyFill="1" applyAlignment="1">
      <alignment horizontal="left" vertical="center"/>
    </xf>
    <xf numFmtId="0" fontId="4" fillId="4" borderId="1" xfId="0" applyFont="1" applyFill="1" applyBorder="1"/>
    <xf numFmtId="0" fontId="4" fillId="4" borderId="2" xfId="0" applyFont="1" applyFill="1" applyBorder="1"/>
    <xf numFmtId="0" fontId="4" fillId="5" borderId="0" xfId="0" applyFont="1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Fill="1"/>
    <xf numFmtId="0" fontId="0" fillId="0" borderId="3" xfId="0" applyFill="1" applyBorder="1"/>
    <xf numFmtId="0" fontId="0" fillId="0" borderId="4" xfId="0" applyFill="1" applyBorder="1"/>
    <xf numFmtId="0" fontId="2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9" fontId="4" fillId="4" borderId="0" xfId="0" applyNumberFormat="1" applyFont="1" applyFill="1"/>
    <xf numFmtId="0" fontId="4" fillId="4" borderId="0" xfId="0" applyFont="1" applyFill="1"/>
    <xf numFmtId="9" fontId="4" fillId="4" borderId="1" xfId="0" applyNumberFormat="1" applyFont="1" applyFill="1" applyBorder="1"/>
    <xf numFmtId="0" fontId="4" fillId="4" borderId="7" xfId="0" applyFont="1" applyFill="1" applyBorder="1"/>
    <xf numFmtId="0" fontId="0" fillId="0" borderId="7" xfId="0" applyBorder="1"/>
    <xf numFmtId="0" fontId="0" fillId="0" borderId="8" xfId="0" applyBorder="1"/>
    <xf numFmtId="9" fontId="4" fillId="4" borderId="7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 wrapText="1"/>
    </xf>
    <xf numFmtId="0" fontId="6" fillId="5" borderId="0" xfId="0" applyFont="1" applyFill="1"/>
    <xf numFmtId="0" fontId="1" fillId="9" borderId="0" xfId="0" applyFont="1" applyFill="1" applyAlignment="1">
      <alignment vertical="center"/>
    </xf>
    <xf numFmtId="0" fontId="0" fillId="0" borderId="7" xfId="0" applyBorder="1" applyAlignment="1">
      <alignment horizontal="left"/>
    </xf>
    <xf numFmtId="0" fontId="0" fillId="10" borderId="7" xfId="0" applyFill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left"/>
    </xf>
    <xf numFmtId="0" fontId="0" fillId="10" borderId="0" xfId="0" applyFill="1" applyAlignment="1">
      <alignment horizontal="left"/>
    </xf>
    <xf numFmtId="0" fontId="0" fillId="10" borderId="8" xfId="0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11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0" fillId="10" borderId="0" xfId="0" applyFill="1"/>
    <xf numFmtId="2" fontId="4" fillId="0" borderId="0" xfId="0" applyNumberFormat="1" applyFont="1" applyAlignment="1">
      <alignment horizontal="left"/>
    </xf>
    <xf numFmtId="9" fontId="1" fillId="9" borderId="0" xfId="0" applyNumberFormat="1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7" fillId="10" borderId="3" xfId="0" applyFont="1" applyFill="1" applyBorder="1"/>
    <xf numFmtId="0" fontId="0" fillId="10" borderId="4" xfId="0" applyFill="1" applyBorder="1"/>
    <xf numFmtId="0" fontId="7" fillId="10" borderId="0" xfId="0" applyFont="1" applyFill="1"/>
    <xf numFmtId="14" fontId="2" fillId="1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wrapText="1"/>
    </xf>
    <xf numFmtId="0" fontId="8" fillId="0" borderId="0" xfId="0" applyFont="1" applyAlignment="1">
      <alignment horizontal="center"/>
    </xf>
    <xf numFmtId="0" fontId="3" fillId="9" borderId="0" xfId="0" applyFont="1" applyFill="1" applyAlignment="1">
      <alignment horizontal="center"/>
    </xf>
    <xf numFmtId="0" fontId="3" fillId="0" borderId="0" xfId="0" applyFont="1" applyFill="1" applyAlignment="1"/>
    <xf numFmtId="14" fontId="0" fillId="0" borderId="0" xfId="0" applyNumberFormat="1"/>
    <xf numFmtId="14" fontId="0" fillId="0" borderId="8" xfId="0" applyNumberFormat="1" applyBorder="1"/>
    <xf numFmtId="14" fontId="0" fillId="0" borderId="0" xfId="0" applyNumberFormat="1" applyBorder="1"/>
    <xf numFmtId="0" fontId="0" fillId="0" borderId="0" xfId="0" applyBorder="1" applyAlignment="1">
      <alignment horizontal="left"/>
    </xf>
    <xf numFmtId="0" fontId="0" fillId="10" borderId="0" xfId="0" applyFill="1" applyBorder="1" applyAlignment="1">
      <alignment horizontal="left"/>
    </xf>
    <xf numFmtId="0" fontId="0" fillId="0" borderId="0" xfId="0" applyBorder="1"/>
    <xf numFmtId="0" fontId="2" fillId="11" borderId="0" xfId="0" applyFont="1" applyFill="1" applyAlignment="1">
      <alignment horizontal="center" vertical="center"/>
    </xf>
    <xf numFmtId="0" fontId="8" fillId="0" borderId="0" xfId="0" applyFont="1" applyAlignment="1"/>
    <xf numFmtId="0" fontId="9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D901-30D3-504F-A792-B5F32570A81A}">
  <dimension ref="A1:G16"/>
  <sheetViews>
    <sheetView tabSelected="1" workbookViewId="0">
      <selection activeCell="I15" sqref="I15"/>
    </sheetView>
  </sheetViews>
  <sheetFormatPr baseColWidth="10" defaultRowHeight="16" x14ac:dyDescent="0.2"/>
  <cols>
    <col min="3" max="3" width="15.1640625" customWidth="1"/>
    <col min="5" max="5" width="14.1640625" customWidth="1"/>
    <col min="7" max="7" width="15.6640625" customWidth="1"/>
  </cols>
  <sheetData>
    <row r="1" spans="1:7" ht="22" x14ac:dyDescent="0.3">
      <c r="A1" s="1" t="s">
        <v>0</v>
      </c>
      <c r="B1" s="1"/>
      <c r="C1" s="1"/>
      <c r="D1" s="1"/>
      <c r="E1" s="1"/>
      <c r="F1" s="1"/>
      <c r="G1" s="1"/>
    </row>
    <row r="2" spans="1:7" ht="22" customHeight="1" x14ac:dyDescent="0.2">
      <c r="A2" s="72" t="s">
        <v>58</v>
      </c>
      <c r="B2" s="72"/>
      <c r="C2" s="72"/>
      <c r="D2" s="72"/>
      <c r="E2" s="72"/>
      <c r="F2" s="72"/>
      <c r="G2" s="72"/>
    </row>
    <row r="4" spans="1:7" x14ac:dyDescent="0.2">
      <c r="A4" s="2" t="s">
        <v>19</v>
      </c>
      <c r="B4" s="2"/>
      <c r="C4" s="2"/>
      <c r="D4" s="2"/>
      <c r="E4" s="2"/>
      <c r="F4" s="2"/>
      <c r="G4" s="2"/>
    </row>
    <row r="5" spans="1:7" x14ac:dyDescent="0.2">
      <c r="A5" t="s">
        <v>1</v>
      </c>
      <c r="B5" s="3" t="s">
        <v>5</v>
      </c>
      <c r="C5" s="4" t="s">
        <v>3</v>
      </c>
      <c r="D5" s="5" t="s">
        <v>4</v>
      </c>
      <c r="E5" s="5" t="s">
        <v>6</v>
      </c>
      <c r="F5" s="3" t="s">
        <v>7</v>
      </c>
      <c r="G5" s="4" t="s">
        <v>8</v>
      </c>
    </row>
    <row r="6" spans="1:7" x14ac:dyDescent="0.2">
      <c r="A6">
        <v>1.25</v>
      </c>
      <c r="B6" s="6">
        <v>0.18905750000000002</v>
      </c>
      <c r="C6" s="7">
        <v>4.65446025334839E-2</v>
      </c>
      <c r="D6">
        <v>0.329596</v>
      </c>
      <c r="E6">
        <v>0.21542769838161474</v>
      </c>
      <c r="F6" s="6">
        <v>0.37573400000000001</v>
      </c>
      <c r="G6" s="7">
        <v>0.23784316193660057</v>
      </c>
    </row>
    <row r="7" spans="1:7" x14ac:dyDescent="0.2">
      <c r="A7">
        <v>1.5</v>
      </c>
      <c r="B7" s="6">
        <v>0.29792750000000001</v>
      </c>
      <c r="C7" s="7">
        <v>3.8832727928041634E-2</v>
      </c>
      <c r="D7">
        <v>0.54006799999999999</v>
      </c>
      <c r="E7">
        <v>0.25588166165241311</v>
      </c>
      <c r="F7" s="6">
        <v>0.70250000000000001</v>
      </c>
      <c r="G7" s="7">
        <v>0.36373384342125742</v>
      </c>
    </row>
    <row r="8" spans="1:7" x14ac:dyDescent="0.2">
      <c r="A8">
        <v>1.75</v>
      </c>
      <c r="B8" s="6">
        <v>0.32216499999999998</v>
      </c>
      <c r="C8" s="7">
        <v>8.592462956956351E-2</v>
      </c>
      <c r="D8">
        <v>0.66150400000000009</v>
      </c>
      <c r="E8">
        <v>0.2756360709885407</v>
      </c>
      <c r="F8" s="6">
        <v>0.78346000000000005</v>
      </c>
      <c r="G8" s="7">
        <v>0.26409990647480319</v>
      </c>
    </row>
    <row r="9" spans="1:7" x14ac:dyDescent="0.2">
      <c r="A9">
        <v>2</v>
      </c>
      <c r="B9" s="6">
        <v>0.380525</v>
      </c>
      <c r="C9" s="7">
        <v>6.6807699406580268E-2</v>
      </c>
      <c r="D9">
        <v>0.70543400000000001</v>
      </c>
      <c r="E9">
        <v>0.21419898174361185</v>
      </c>
      <c r="F9" s="6">
        <v>0.84631600000000007</v>
      </c>
      <c r="G9" s="7">
        <v>0.29152302658623724</v>
      </c>
    </row>
    <row r="10" spans="1:7" x14ac:dyDescent="0.2">
      <c r="A10" s="10">
        <v>2.25</v>
      </c>
      <c r="B10" s="11">
        <v>0.44648500000000002</v>
      </c>
      <c r="C10" s="12">
        <v>0.11256701278201646</v>
      </c>
      <c r="D10" s="10">
        <v>0.77698199999999995</v>
      </c>
      <c r="E10" s="10">
        <v>0.23614711023004323</v>
      </c>
      <c r="F10" s="11">
        <v>0.91011200000000003</v>
      </c>
      <c r="G10" s="12">
        <v>0.23988034948698941</v>
      </c>
    </row>
    <row r="11" spans="1:7" x14ac:dyDescent="0.2">
      <c r="A11">
        <v>2.5</v>
      </c>
      <c r="B11" s="6">
        <v>0.64543499999999998</v>
      </c>
      <c r="C11" s="7">
        <v>0.12967254155500041</v>
      </c>
      <c r="D11">
        <v>0.96870000000000012</v>
      </c>
      <c r="E11">
        <v>0.26858964499771704</v>
      </c>
      <c r="F11" s="6">
        <v>1.1334620000000002</v>
      </c>
      <c r="G11" s="7">
        <v>0.2788993022938559</v>
      </c>
    </row>
    <row r="12" spans="1:7" x14ac:dyDescent="0.2">
      <c r="A12">
        <v>2.75</v>
      </c>
      <c r="B12" s="6">
        <v>0.765185</v>
      </c>
      <c r="C12" s="7">
        <v>0.14933637500622551</v>
      </c>
      <c r="D12">
        <v>1.1199619999999999</v>
      </c>
      <c r="E12">
        <v>0.29458630657245471</v>
      </c>
      <c r="F12" s="6">
        <v>1.42052</v>
      </c>
      <c r="G12" s="7">
        <v>0.28580844459182864</v>
      </c>
    </row>
    <row r="13" spans="1:7" x14ac:dyDescent="0.2">
      <c r="A13">
        <v>3</v>
      </c>
      <c r="B13" s="6">
        <v>0.95504499999999992</v>
      </c>
      <c r="C13" s="7">
        <v>0.13740058624329163</v>
      </c>
      <c r="D13">
        <v>1.25044</v>
      </c>
      <c r="E13">
        <v>0.35309974936269695</v>
      </c>
      <c r="F13" s="6">
        <v>1.6103859999999997</v>
      </c>
      <c r="G13" s="7">
        <v>0.39744367711664635</v>
      </c>
    </row>
    <row r="14" spans="1:7" x14ac:dyDescent="0.2">
      <c r="A14">
        <v>3.25</v>
      </c>
      <c r="B14" s="6">
        <v>1.1304799999999999</v>
      </c>
      <c r="C14" s="7">
        <v>0.21430997239201635</v>
      </c>
      <c r="D14">
        <v>1.3987000000000001</v>
      </c>
      <c r="E14">
        <v>0.42324026273501009</v>
      </c>
      <c r="F14" s="6">
        <v>1.8787600000000002</v>
      </c>
      <c r="G14" s="7">
        <v>0.36986780476272912</v>
      </c>
    </row>
    <row r="15" spans="1:7" x14ac:dyDescent="0.2">
      <c r="A15">
        <v>3.5</v>
      </c>
      <c r="B15" s="6">
        <v>1.285075</v>
      </c>
      <c r="C15" s="7">
        <v>0.19565228297501031</v>
      </c>
      <c r="D15">
        <v>1.6384000000000001</v>
      </c>
      <c r="E15">
        <v>0.52787104012249064</v>
      </c>
      <c r="F15" s="6">
        <v>2.0381200000000002</v>
      </c>
      <c r="G15" s="7">
        <v>0.39179378121659836</v>
      </c>
    </row>
    <row r="16" spans="1:7" x14ac:dyDescent="0.2">
      <c r="A16">
        <v>3.75</v>
      </c>
      <c r="B16" s="8">
        <v>1.55155</v>
      </c>
      <c r="C16" s="9">
        <v>0.20177660088986304</v>
      </c>
      <c r="D16">
        <v>1.95044</v>
      </c>
      <c r="E16">
        <v>0.59497301871597508</v>
      </c>
      <c r="F16" s="8">
        <v>2.3910999999999998</v>
      </c>
      <c r="G16" s="9">
        <v>0.44504802549837386</v>
      </c>
    </row>
  </sheetData>
  <mergeCells count="3">
    <mergeCell ref="A1:G1"/>
    <mergeCell ref="A4:G4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EE44-06AE-3149-B941-79C8EE328BA8}">
  <dimension ref="A1:M7"/>
  <sheetViews>
    <sheetView workbookViewId="0">
      <selection activeCell="F16" sqref="F16"/>
    </sheetView>
  </sheetViews>
  <sheetFormatPr baseColWidth="10" defaultRowHeight="16" x14ac:dyDescent="0.2"/>
  <cols>
    <col min="1" max="1" width="21.83203125" customWidth="1"/>
  </cols>
  <sheetData>
    <row r="1" spans="1:13" ht="22" x14ac:dyDescent="0.3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ht="34" x14ac:dyDescent="0.2">
      <c r="B3" s="13" t="s">
        <v>10</v>
      </c>
      <c r="C3" s="14" t="s">
        <v>11</v>
      </c>
      <c r="D3" s="15" t="s">
        <v>12</v>
      </c>
      <c r="E3" s="14" t="s">
        <v>11</v>
      </c>
      <c r="F3" s="15" t="s">
        <v>12</v>
      </c>
      <c r="G3" s="14" t="s">
        <v>11</v>
      </c>
      <c r="H3" s="16" t="s">
        <v>13</v>
      </c>
      <c r="I3" s="17" t="s">
        <v>14</v>
      </c>
      <c r="J3" s="18"/>
    </row>
    <row r="4" spans="1:13" x14ac:dyDescent="0.2">
      <c r="B4" s="19" t="s">
        <v>15</v>
      </c>
      <c r="C4" s="14"/>
      <c r="D4" s="20" t="s">
        <v>16</v>
      </c>
      <c r="E4" s="14"/>
      <c r="F4" s="20" t="s">
        <v>17</v>
      </c>
      <c r="G4" s="14"/>
      <c r="H4" s="21" t="s">
        <v>18</v>
      </c>
      <c r="I4" s="17"/>
      <c r="J4" s="18"/>
    </row>
    <row r="5" spans="1:13" x14ac:dyDescent="0.2">
      <c r="A5" s="22" t="s">
        <v>40</v>
      </c>
      <c r="B5">
        <v>1532.5619047619048</v>
      </c>
      <c r="C5">
        <v>2.8152222275472685</v>
      </c>
      <c r="D5">
        <v>1.0264712190811516</v>
      </c>
      <c r="E5">
        <v>1.0961726849920118E-2</v>
      </c>
      <c r="F5">
        <v>1026.4712190811515</v>
      </c>
      <c r="G5">
        <v>10.961726849920119</v>
      </c>
      <c r="H5">
        <f>(B5*B5*F5)/1000000000</f>
        <v>2.4109201616457252</v>
      </c>
      <c r="I5">
        <f>((((B5^4)*(G5^2))+(((2*F5*B5)^2)*(C5^2)))^0.5)/1000000000</f>
        <v>2.7227312731067981E-2</v>
      </c>
    </row>
    <row r="6" spans="1:13" x14ac:dyDescent="0.2">
      <c r="A6" s="24" t="s">
        <v>56</v>
      </c>
      <c r="B6" s="26">
        <v>1551.5714285714287</v>
      </c>
      <c r="C6" s="26">
        <v>3.053709687763857</v>
      </c>
      <c r="D6" s="26">
        <v>1.043945351865883</v>
      </c>
      <c r="E6" s="26">
        <v>9.9294757574614079E-3</v>
      </c>
      <c r="F6" s="26">
        <v>1043.9453518658829</v>
      </c>
      <c r="G6" s="26">
        <v>9.9294757574614074</v>
      </c>
      <c r="H6" s="74">
        <f t="shared" ref="H6:H7" si="0">(B6*B6*F6)/1000000000</f>
        <v>2.513166790977742</v>
      </c>
      <c r="I6" s="74">
        <f t="shared" ref="I6:I7" si="1">((((B6^4)*(G6^2))+(((2*F6*B6)^2)*(C6^2)))^0.5)/1000000000</f>
        <v>2.5870087882204674E-2</v>
      </c>
    </row>
    <row r="7" spans="1:13" x14ac:dyDescent="0.2">
      <c r="A7" s="28" t="s">
        <v>57</v>
      </c>
      <c r="B7" s="26">
        <v>1562.4047619047615</v>
      </c>
      <c r="C7" s="26">
        <v>2.1291961371550903</v>
      </c>
      <c r="D7" s="26">
        <v>1.048949920525124</v>
      </c>
      <c r="E7" s="26">
        <v>9.9959072721043131E-3</v>
      </c>
      <c r="F7" s="26">
        <v>1048.9499205251241</v>
      </c>
      <c r="G7" s="26">
        <v>9.9959072721043132</v>
      </c>
      <c r="H7">
        <f t="shared" si="0"/>
        <v>2.5606007139449782</v>
      </c>
      <c r="I7">
        <f t="shared" si="1"/>
        <v>2.5379520911590035E-2</v>
      </c>
    </row>
  </sheetData>
  <mergeCells count="6">
    <mergeCell ref="A1:M1"/>
    <mergeCell ref="C3:C4"/>
    <mergeCell ref="E3:E4"/>
    <mergeCell ref="G3:G4"/>
    <mergeCell ref="I3:I4"/>
    <mergeCell ref="J3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01A70-01D9-2A41-8A34-D85D06CB6528}">
  <dimension ref="A1:L24"/>
  <sheetViews>
    <sheetView workbookViewId="0">
      <selection activeCell="J44" sqref="J44"/>
    </sheetView>
  </sheetViews>
  <sheetFormatPr baseColWidth="10" defaultRowHeight="16" x14ac:dyDescent="0.2"/>
  <cols>
    <col min="1" max="1" width="23.6640625" customWidth="1"/>
    <col min="2" max="2" width="15.33203125" customWidth="1"/>
    <col min="3" max="3" width="16" customWidth="1"/>
    <col min="4" max="4" width="22.1640625" customWidth="1"/>
    <col min="5" max="5" width="14" customWidth="1"/>
    <col min="6" max="6" width="20.83203125" customWidth="1"/>
    <col min="9" max="9" width="15.83203125" customWidth="1"/>
    <col min="10" max="10" width="15.1640625" customWidth="1"/>
    <col min="11" max="11" width="17" customWidth="1"/>
  </cols>
  <sheetData>
    <row r="1" spans="1:12" ht="22" x14ac:dyDescent="0.3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29"/>
    </row>
    <row r="2" spans="1:12" ht="32" customHeight="1" x14ac:dyDescent="0.2">
      <c r="A2" s="42" t="s">
        <v>39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2" x14ac:dyDescent="0.2">
      <c r="A3" s="30"/>
      <c r="B3" s="30"/>
      <c r="C3" s="31" t="s">
        <v>23</v>
      </c>
      <c r="D3" s="31"/>
      <c r="E3" s="30"/>
      <c r="F3" s="30"/>
      <c r="G3" s="31" t="s">
        <v>24</v>
      </c>
      <c r="H3" s="31"/>
      <c r="I3" s="30"/>
    </row>
    <row r="4" spans="1:12" x14ac:dyDescent="0.2">
      <c r="A4" s="32" t="s">
        <v>25</v>
      </c>
      <c r="B4" s="33" t="s">
        <v>26</v>
      </c>
      <c r="C4" s="33" t="s">
        <v>27</v>
      </c>
      <c r="D4" s="33" t="s">
        <v>28</v>
      </c>
      <c r="E4" s="33" t="s">
        <v>29</v>
      </c>
      <c r="F4" s="33" t="s">
        <v>30</v>
      </c>
      <c r="G4" s="33" t="s">
        <v>27</v>
      </c>
      <c r="H4" s="33" t="s">
        <v>28</v>
      </c>
      <c r="I4" s="33" t="s">
        <v>31</v>
      </c>
      <c r="J4" s="34" t="s">
        <v>32</v>
      </c>
      <c r="K4" s="34" t="s">
        <v>11</v>
      </c>
      <c r="L4" s="69"/>
    </row>
    <row r="5" spans="1:12" x14ac:dyDescent="0.2">
      <c r="A5" s="32"/>
      <c r="B5" s="33" t="s">
        <v>33</v>
      </c>
      <c r="C5" s="33" t="s">
        <v>34</v>
      </c>
      <c r="D5" s="33" t="s">
        <v>35</v>
      </c>
      <c r="E5" s="33" t="s">
        <v>36</v>
      </c>
      <c r="F5" s="33" t="s">
        <v>36</v>
      </c>
      <c r="G5" s="33" t="s">
        <v>34</v>
      </c>
      <c r="H5" s="33" t="s">
        <v>35</v>
      </c>
      <c r="I5" s="33" t="s">
        <v>37</v>
      </c>
      <c r="J5" s="34" t="s">
        <v>38</v>
      </c>
      <c r="K5" s="34"/>
      <c r="L5" s="69"/>
    </row>
    <row r="6" spans="1:12" x14ac:dyDescent="0.2">
      <c r="A6" s="64" t="s">
        <v>40</v>
      </c>
      <c r="B6" s="38">
        <v>1</v>
      </c>
      <c r="C6" s="39">
        <v>0.99</v>
      </c>
      <c r="D6" s="39">
        <v>0.35</v>
      </c>
      <c r="E6" s="38">
        <v>0.38</v>
      </c>
      <c r="F6" s="38">
        <v>0.34</v>
      </c>
      <c r="G6" s="68">
        <f t="shared" ref="G6:H23" si="0">C6-E6</f>
        <v>0.61</v>
      </c>
      <c r="H6" s="68">
        <f t="shared" si="0"/>
        <v>9.9999999999999534E-3</v>
      </c>
      <c r="I6" s="67">
        <f>(G6/(G6-H6))*B6</f>
        <v>1.0166666666666664</v>
      </c>
      <c r="J6" s="26">
        <f>SUM(I6:I11)/6</f>
        <v>1.0264712190811516</v>
      </c>
      <c r="K6" s="26">
        <f>STDEV(I6:I11)</f>
        <v>1.0961726849920118E-2</v>
      </c>
      <c r="L6" s="69"/>
    </row>
    <row r="7" spans="1:12" x14ac:dyDescent="0.2">
      <c r="A7" s="64" t="s">
        <v>40</v>
      </c>
      <c r="B7" s="38">
        <v>0.78900000000000003</v>
      </c>
      <c r="C7" s="39">
        <v>0.98</v>
      </c>
      <c r="D7" s="39">
        <v>0.49</v>
      </c>
      <c r="E7" s="38">
        <v>0.37</v>
      </c>
      <c r="F7" s="38">
        <v>0.34</v>
      </c>
      <c r="G7" s="68">
        <f t="shared" si="0"/>
        <v>0.61</v>
      </c>
      <c r="H7" s="68">
        <f t="shared" si="0"/>
        <v>0.14999999999999997</v>
      </c>
      <c r="I7" s="67">
        <f t="shared" ref="I7:I23" si="1">(G7/(G7-H7))*B7</f>
        <v>1.046282608695652</v>
      </c>
      <c r="K7" s="69"/>
      <c r="L7" s="69"/>
    </row>
    <row r="8" spans="1:12" x14ac:dyDescent="0.2">
      <c r="A8" s="64" t="s">
        <v>40</v>
      </c>
      <c r="B8" s="38">
        <v>1</v>
      </c>
      <c r="C8" s="39">
        <v>2.52</v>
      </c>
      <c r="D8" s="39">
        <v>0.37</v>
      </c>
      <c r="E8" s="38">
        <v>0.38</v>
      </c>
      <c r="F8" s="38">
        <v>0.32</v>
      </c>
      <c r="G8" s="68">
        <f t="shared" si="0"/>
        <v>2.14</v>
      </c>
      <c r="H8" s="68">
        <f t="shared" si="0"/>
        <v>4.9999999999999989E-2</v>
      </c>
      <c r="I8" s="67">
        <f t="shared" si="1"/>
        <v>1.0239234449760766</v>
      </c>
      <c r="K8" s="69"/>
      <c r="L8" s="69"/>
    </row>
    <row r="9" spans="1:12" x14ac:dyDescent="0.2">
      <c r="A9" s="64" t="s">
        <v>40</v>
      </c>
      <c r="B9" s="38">
        <v>0.78900000000000003</v>
      </c>
      <c r="C9" s="39">
        <v>2.48</v>
      </c>
      <c r="D9" s="39">
        <v>0.81</v>
      </c>
      <c r="E9" s="38">
        <v>0.38</v>
      </c>
      <c r="F9" s="38">
        <v>0.34</v>
      </c>
      <c r="G9" s="68">
        <f t="shared" si="0"/>
        <v>2.1</v>
      </c>
      <c r="H9" s="68">
        <f t="shared" si="0"/>
        <v>0.47000000000000003</v>
      </c>
      <c r="I9" s="67">
        <f t="shared" si="1"/>
        <v>1.0165030674846625</v>
      </c>
      <c r="K9" s="69"/>
      <c r="L9" s="69"/>
    </row>
    <row r="10" spans="1:12" x14ac:dyDescent="0.2">
      <c r="A10" s="64" t="s">
        <v>40</v>
      </c>
      <c r="B10" s="38">
        <v>1</v>
      </c>
      <c r="C10" s="39">
        <v>1.79</v>
      </c>
      <c r="D10" s="39">
        <v>0.36</v>
      </c>
      <c r="E10" s="38">
        <v>0.37</v>
      </c>
      <c r="F10" s="38">
        <v>0.32</v>
      </c>
      <c r="G10" s="68">
        <f t="shared" si="0"/>
        <v>1.42</v>
      </c>
      <c r="H10" s="68">
        <f t="shared" si="0"/>
        <v>3.999999999999998E-2</v>
      </c>
      <c r="I10" s="67">
        <f t="shared" si="1"/>
        <v>1.0289855072463769</v>
      </c>
      <c r="K10" s="69"/>
      <c r="L10" s="69"/>
    </row>
    <row r="11" spans="1:12" x14ac:dyDescent="0.2">
      <c r="A11" s="65" t="s">
        <v>40</v>
      </c>
      <c r="B11" s="38">
        <v>0.78900000000000003</v>
      </c>
      <c r="C11" s="39">
        <v>1.71</v>
      </c>
      <c r="D11" s="39">
        <v>0.64</v>
      </c>
      <c r="E11" s="38">
        <v>0.37</v>
      </c>
      <c r="F11" s="38">
        <v>0.33</v>
      </c>
      <c r="G11" s="68">
        <f t="shared" si="0"/>
        <v>1.3399999999999999</v>
      </c>
      <c r="H11" s="68">
        <f t="shared" si="0"/>
        <v>0.31</v>
      </c>
      <c r="I11" s="41">
        <f t="shared" si="1"/>
        <v>1.0264660194174759</v>
      </c>
      <c r="J11" s="27"/>
      <c r="K11" s="27"/>
      <c r="L11" s="69"/>
    </row>
    <row r="12" spans="1:12" x14ac:dyDescent="0.2">
      <c r="A12" s="64" t="s">
        <v>56</v>
      </c>
      <c r="B12" s="35">
        <v>1</v>
      </c>
      <c r="C12" s="36">
        <v>2.06</v>
      </c>
      <c r="D12" s="36">
        <v>0.4</v>
      </c>
      <c r="E12" s="35">
        <v>0.36</v>
      </c>
      <c r="F12" s="35">
        <v>0.32</v>
      </c>
      <c r="G12" s="36">
        <f t="shared" si="0"/>
        <v>1.7000000000000002</v>
      </c>
      <c r="H12" s="36">
        <f t="shared" si="0"/>
        <v>8.0000000000000016E-2</v>
      </c>
      <c r="I12" s="67">
        <f t="shared" si="1"/>
        <v>1.0493827160493827</v>
      </c>
      <c r="J12" s="26">
        <f>SUM(I12:I17)/6</f>
        <v>1.043945351865883</v>
      </c>
      <c r="K12" s="26">
        <f>STDEV(I12:I17)</f>
        <v>9.9294757574614079E-3</v>
      </c>
      <c r="L12" s="69"/>
    </row>
    <row r="13" spans="1:12" x14ac:dyDescent="0.2">
      <c r="A13" s="64" t="s">
        <v>56</v>
      </c>
      <c r="B13" s="38">
        <v>0.78900000000000003</v>
      </c>
      <c r="C13" s="39">
        <v>2.06</v>
      </c>
      <c r="D13" s="39">
        <v>0.74</v>
      </c>
      <c r="E13" s="38">
        <v>0.36</v>
      </c>
      <c r="F13" s="38">
        <v>0.34</v>
      </c>
      <c r="G13" s="68">
        <f t="shared" si="0"/>
        <v>1.7000000000000002</v>
      </c>
      <c r="H13" s="68">
        <f t="shared" si="0"/>
        <v>0.39999999999999997</v>
      </c>
      <c r="I13" s="67">
        <f t="shared" si="1"/>
        <v>1.0317692307692305</v>
      </c>
      <c r="K13" s="69"/>
      <c r="L13" s="69"/>
    </row>
    <row r="14" spans="1:12" x14ac:dyDescent="0.2">
      <c r="A14" s="64" t="s">
        <v>56</v>
      </c>
      <c r="B14" s="38">
        <v>1</v>
      </c>
      <c r="C14" s="39">
        <v>1.87</v>
      </c>
      <c r="D14" s="39">
        <v>0.39</v>
      </c>
      <c r="E14" s="38">
        <v>0.36</v>
      </c>
      <c r="F14" s="38">
        <v>0.32</v>
      </c>
      <c r="G14" s="68">
        <f t="shared" si="0"/>
        <v>1.5100000000000002</v>
      </c>
      <c r="H14" s="68">
        <f t="shared" si="0"/>
        <v>7.0000000000000007E-2</v>
      </c>
      <c r="I14" s="67">
        <f t="shared" si="1"/>
        <v>1.0486111111111112</v>
      </c>
      <c r="K14" s="69"/>
      <c r="L14" s="69"/>
    </row>
    <row r="15" spans="1:12" x14ac:dyDescent="0.2">
      <c r="A15" s="64" t="s">
        <v>56</v>
      </c>
      <c r="B15" s="38">
        <v>0.78900000000000003</v>
      </c>
      <c r="C15" s="39">
        <v>1.87</v>
      </c>
      <c r="D15" s="39">
        <v>0.7</v>
      </c>
      <c r="E15" s="38">
        <v>0.36</v>
      </c>
      <c r="F15" s="38">
        <v>0.34</v>
      </c>
      <c r="G15" s="68">
        <f t="shared" si="0"/>
        <v>1.5100000000000002</v>
      </c>
      <c r="H15" s="68">
        <f t="shared" si="0"/>
        <v>0.35999999999999993</v>
      </c>
      <c r="I15" s="67">
        <f t="shared" si="1"/>
        <v>1.0359913043478259</v>
      </c>
      <c r="K15" s="69"/>
      <c r="L15" s="69"/>
    </row>
    <row r="16" spans="1:12" x14ac:dyDescent="0.2">
      <c r="A16" s="64" t="s">
        <v>56</v>
      </c>
      <c r="B16" s="38">
        <v>1</v>
      </c>
      <c r="C16" s="39">
        <v>2</v>
      </c>
      <c r="D16" s="39">
        <v>0.4</v>
      </c>
      <c r="E16" s="38">
        <v>0.37</v>
      </c>
      <c r="F16" s="38">
        <v>0.31</v>
      </c>
      <c r="G16" s="68">
        <f t="shared" si="0"/>
        <v>1.63</v>
      </c>
      <c r="H16" s="68">
        <f t="shared" si="0"/>
        <v>9.0000000000000024E-2</v>
      </c>
      <c r="I16" s="67">
        <f t="shared" si="1"/>
        <v>1.0584415584415585</v>
      </c>
      <c r="K16" s="69"/>
      <c r="L16" s="69"/>
    </row>
    <row r="17" spans="1:12" x14ac:dyDescent="0.2">
      <c r="A17" s="65" t="s">
        <v>56</v>
      </c>
      <c r="B17" s="38">
        <v>0.78900000000000003</v>
      </c>
      <c r="C17" s="39">
        <v>2.02</v>
      </c>
      <c r="D17" s="39">
        <v>0.73</v>
      </c>
      <c r="E17" s="38">
        <v>0.36</v>
      </c>
      <c r="F17" s="38">
        <v>0.33</v>
      </c>
      <c r="G17" s="40">
        <f t="shared" si="0"/>
        <v>1.6600000000000001</v>
      </c>
      <c r="H17" s="40">
        <f t="shared" si="0"/>
        <v>0.39999999999999997</v>
      </c>
      <c r="I17" s="41">
        <f t="shared" si="1"/>
        <v>1.0394761904761904</v>
      </c>
      <c r="J17" s="27"/>
      <c r="K17" s="27"/>
      <c r="L17" s="69"/>
    </row>
    <row r="18" spans="1:12" x14ac:dyDescent="0.2">
      <c r="A18" s="64" t="s">
        <v>57</v>
      </c>
      <c r="B18" s="35">
        <v>1</v>
      </c>
      <c r="C18" s="36">
        <v>1.95</v>
      </c>
      <c r="D18" s="36">
        <v>0.41</v>
      </c>
      <c r="E18" s="35">
        <v>0.36</v>
      </c>
      <c r="F18" s="35">
        <v>0.32</v>
      </c>
      <c r="G18" s="68">
        <f t="shared" si="0"/>
        <v>1.5899999999999999</v>
      </c>
      <c r="H18" s="68">
        <f t="shared" si="0"/>
        <v>8.9999999999999969E-2</v>
      </c>
      <c r="I18" s="67">
        <f t="shared" si="1"/>
        <v>1.0599999999999998</v>
      </c>
      <c r="J18" s="26">
        <f>SUM(I18:I23)/6</f>
        <v>1.048949920525124</v>
      </c>
      <c r="K18" s="26">
        <f>STDEV(I18:I23)</f>
        <v>9.9959072721043131E-3</v>
      </c>
      <c r="L18" s="69"/>
    </row>
    <row r="19" spans="1:12" x14ac:dyDescent="0.2">
      <c r="A19" s="64" t="s">
        <v>57</v>
      </c>
      <c r="B19" s="38">
        <v>0.78900000000000003</v>
      </c>
      <c r="C19" s="39">
        <v>1.95</v>
      </c>
      <c r="D19" s="39">
        <v>0.73</v>
      </c>
      <c r="E19" s="38">
        <v>0.36</v>
      </c>
      <c r="F19" s="38">
        <v>0.33</v>
      </c>
      <c r="G19" s="68">
        <f t="shared" si="0"/>
        <v>1.5899999999999999</v>
      </c>
      <c r="H19" s="68">
        <f t="shared" si="0"/>
        <v>0.39999999999999997</v>
      </c>
      <c r="I19" s="67">
        <f t="shared" si="1"/>
        <v>1.0542100840336135</v>
      </c>
      <c r="K19" s="69"/>
      <c r="L19" s="69"/>
    </row>
    <row r="20" spans="1:12" x14ac:dyDescent="0.2">
      <c r="A20" s="64" t="s">
        <v>57</v>
      </c>
      <c r="B20" s="38">
        <v>1</v>
      </c>
      <c r="C20" s="39">
        <v>1.89</v>
      </c>
      <c r="D20" s="39">
        <v>0.41</v>
      </c>
      <c r="E20" s="38">
        <v>0.37</v>
      </c>
      <c r="F20" s="38">
        <v>0.33</v>
      </c>
      <c r="G20" s="68">
        <f t="shared" si="0"/>
        <v>1.52</v>
      </c>
      <c r="H20" s="68">
        <f t="shared" si="0"/>
        <v>7.999999999999996E-2</v>
      </c>
      <c r="I20" s="67">
        <f t="shared" si="1"/>
        <v>1.0555555555555556</v>
      </c>
      <c r="K20" s="69"/>
      <c r="L20" s="69"/>
    </row>
    <row r="21" spans="1:12" x14ac:dyDescent="0.2">
      <c r="A21" s="64" t="s">
        <v>57</v>
      </c>
      <c r="B21" s="38">
        <v>0.78900000000000003</v>
      </c>
      <c r="C21" s="39">
        <v>1.9</v>
      </c>
      <c r="D21" s="39">
        <v>0.72</v>
      </c>
      <c r="E21" s="38">
        <v>0.37</v>
      </c>
      <c r="F21" s="38">
        <v>0.34</v>
      </c>
      <c r="G21" s="68">
        <f t="shared" si="0"/>
        <v>1.5299999999999998</v>
      </c>
      <c r="H21" s="68">
        <f t="shared" si="0"/>
        <v>0.37999999999999995</v>
      </c>
      <c r="I21" s="67">
        <f t="shared" si="1"/>
        <v>1.0497130434782609</v>
      </c>
      <c r="K21" s="69"/>
      <c r="L21" s="69"/>
    </row>
    <row r="22" spans="1:12" x14ac:dyDescent="0.2">
      <c r="A22" s="64" t="s">
        <v>57</v>
      </c>
      <c r="B22" s="38">
        <v>1</v>
      </c>
      <c r="C22" s="39">
        <v>1.91</v>
      </c>
      <c r="D22" s="39">
        <v>0.4</v>
      </c>
      <c r="E22" s="38">
        <v>0.37</v>
      </c>
      <c r="F22" s="38">
        <v>0.35</v>
      </c>
      <c r="G22" s="68">
        <f t="shared" si="0"/>
        <v>1.54</v>
      </c>
      <c r="H22" s="68">
        <f t="shared" si="0"/>
        <v>5.0000000000000044E-2</v>
      </c>
      <c r="I22" s="67">
        <f t="shared" si="1"/>
        <v>1.0335570469798658</v>
      </c>
      <c r="K22" s="69"/>
      <c r="L22" s="69"/>
    </row>
    <row r="23" spans="1:12" x14ac:dyDescent="0.2">
      <c r="A23" s="66" t="s">
        <v>57</v>
      </c>
      <c r="B23" s="67">
        <v>0.78900000000000003</v>
      </c>
      <c r="C23" s="39">
        <v>1.9</v>
      </c>
      <c r="D23" s="39">
        <v>0.72</v>
      </c>
      <c r="E23" s="38">
        <v>0.37</v>
      </c>
      <c r="F23" s="38">
        <v>0.35</v>
      </c>
      <c r="G23" s="68">
        <f t="shared" si="0"/>
        <v>1.5299999999999998</v>
      </c>
      <c r="H23" s="68">
        <f t="shared" si="0"/>
        <v>0.37</v>
      </c>
      <c r="I23" s="67">
        <f t="shared" si="1"/>
        <v>1.0406637931034484</v>
      </c>
      <c r="J23" s="69"/>
      <c r="K23" s="69"/>
      <c r="L23" s="67"/>
    </row>
    <row r="24" spans="1:12" x14ac:dyDescent="0.2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</row>
  </sheetData>
  <mergeCells count="5">
    <mergeCell ref="A1:K1"/>
    <mergeCell ref="A2:K2"/>
    <mergeCell ref="C3:D3"/>
    <mergeCell ref="G3:H3"/>
    <mergeCell ref="A4:A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53E4-3D4E-1E40-8561-92CED07C644E}">
  <dimension ref="A1:Y7"/>
  <sheetViews>
    <sheetView workbookViewId="0">
      <selection activeCell="Y11" sqref="Y11"/>
    </sheetView>
  </sheetViews>
  <sheetFormatPr baseColWidth="10" defaultRowHeight="16" x14ac:dyDescent="0.2"/>
  <cols>
    <col min="1" max="1" width="24.6640625" customWidth="1"/>
  </cols>
  <sheetData>
    <row r="1" spans="1:25" ht="22" x14ac:dyDescent="0.3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43" t="s">
        <v>42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38"/>
      <c r="X2" s="38"/>
      <c r="Y2" s="38"/>
    </row>
    <row r="4" spans="1:25" ht="34" x14ac:dyDescent="0.2">
      <c r="A4" s="71"/>
      <c r="B4" s="44" t="s">
        <v>43</v>
      </c>
      <c r="C4" s="44"/>
      <c r="D4" s="44"/>
      <c r="E4" s="44"/>
      <c r="F4" s="44"/>
      <c r="G4" s="44"/>
      <c r="H4" s="44"/>
      <c r="I4" s="44"/>
      <c r="J4" s="44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45" t="s">
        <v>44</v>
      </c>
      <c r="X4" s="16" t="s">
        <v>10</v>
      </c>
      <c r="Y4" s="46" t="s">
        <v>11</v>
      </c>
    </row>
    <row r="5" spans="1:25" x14ac:dyDescent="0.2">
      <c r="A5" t="s">
        <v>40</v>
      </c>
      <c r="B5" s="38">
        <v>1532.5</v>
      </c>
      <c r="C5" s="38">
        <v>1531.6</v>
      </c>
      <c r="D5" s="48">
        <v>1535.3</v>
      </c>
      <c r="E5" s="38">
        <v>1537.2</v>
      </c>
      <c r="F5" s="38">
        <v>1537.8</v>
      </c>
      <c r="G5" s="38">
        <v>1539</v>
      </c>
      <c r="H5" s="38">
        <v>1531.9</v>
      </c>
      <c r="I5" s="38">
        <v>1532.7</v>
      </c>
      <c r="J5" s="38">
        <v>1533.2</v>
      </c>
      <c r="K5" s="38">
        <v>1533.3</v>
      </c>
      <c r="L5" s="38">
        <v>1533.4</v>
      </c>
      <c r="M5" s="38">
        <v>1530.8</v>
      </c>
      <c r="N5" s="38">
        <v>1532.1</v>
      </c>
      <c r="O5" s="38">
        <v>1532.5</v>
      </c>
      <c r="P5" s="38">
        <v>1531</v>
      </c>
      <c r="Q5" s="38">
        <v>1528.8</v>
      </c>
      <c r="R5" s="38">
        <v>1528.3</v>
      </c>
      <c r="S5" s="38">
        <v>1528.9</v>
      </c>
      <c r="T5" s="38">
        <v>1531.5</v>
      </c>
      <c r="U5" s="38">
        <v>1530.8</v>
      </c>
      <c r="V5" s="38">
        <v>1531.2</v>
      </c>
      <c r="W5" s="38">
        <v>21</v>
      </c>
      <c r="X5">
        <f>SUM(B5:V5)/W5</f>
        <v>1532.5619047619048</v>
      </c>
      <c r="Y5">
        <f>STDEV(B5:V5)</f>
        <v>2.8152222275472685</v>
      </c>
    </row>
    <row r="6" spans="1:25" x14ac:dyDescent="0.2">
      <c r="A6" t="s">
        <v>56</v>
      </c>
      <c r="B6" s="35">
        <v>1549.9</v>
      </c>
      <c r="C6" s="35">
        <v>1551</v>
      </c>
      <c r="D6" s="35">
        <v>1552.9</v>
      </c>
      <c r="E6" s="35">
        <v>1549.8</v>
      </c>
      <c r="F6" s="35">
        <v>1549</v>
      </c>
      <c r="G6" s="35">
        <v>1549.7</v>
      </c>
      <c r="H6" s="35">
        <v>1550.8</v>
      </c>
      <c r="I6" s="35">
        <v>1550.1</v>
      </c>
      <c r="J6" s="35">
        <v>1550.3</v>
      </c>
      <c r="K6" s="35">
        <v>1550</v>
      </c>
      <c r="L6" s="35">
        <v>1549.5</v>
      </c>
      <c r="M6" s="35">
        <v>1550.4</v>
      </c>
      <c r="N6" s="35">
        <v>1546.5</v>
      </c>
      <c r="O6" s="35">
        <v>1550</v>
      </c>
      <c r="P6" s="35">
        <v>1547.9</v>
      </c>
      <c r="Q6" s="35">
        <v>1556.6</v>
      </c>
      <c r="R6" s="35">
        <v>1555.7</v>
      </c>
      <c r="S6" s="35">
        <v>1556.7</v>
      </c>
      <c r="T6" s="35">
        <v>1556.1</v>
      </c>
      <c r="U6" s="35">
        <v>1555.7</v>
      </c>
      <c r="V6" s="35">
        <v>1554.4</v>
      </c>
      <c r="W6" s="35">
        <v>21</v>
      </c>
      <c r="X6">
        <f t="shared" ref="X6:X7" si="0">SUM(B6:V6)/W6</f>
        <v>1551.5714285714287</v>
      </c>
      <c r="Y6">
        <f t="shared" ref="Y6:Y7" si="1">STDEV(B6:V6)</f>
        <v>3.053709687763857</v>
      </c>
    </row>
    <row r="7" spans="1:25" x14ac:dyDescent="0.2">
      <c r="A7" t="s">
        <v>57</v>
      </c>
      <c r="B7" s="35">
        <v>1560.1</v>
      </c>
      <c r="C7" s="35">
        <v>1560.6</v>
      </c>
      <c r="D7" s="35">
        <v>1561.6</v>
      </c>
      <c r="E7" s="35">
        <v>1562.2</v>
      </c>
      <c r="F7" s="35">
        <v>1560.9</v>
      </c>
      <c r="G7" s="35">
        <v>1560.1</v>
      </c>
      <c r="H7" s="35">
        <v>1561.5</v>
      </c>
      <c r="I7" s="35">
        <v>1561.7</v>
      </c>
      <c r="J7" s="35">
        <v>1561.4</v>
      </c>
      <c r="K7" s="35">
        <v>1563.3</v>
      </c>
      <c r="L7" s="35">
        <v>1562.4</v>
      </c>
      <c r="M7" s="35">
        <v>1563.1</v>
      </c>
      <c r="N7" s="35">
        <v>1559.9</v>
      </c>
      <c r="O7" s="35">
        <v>1559.6</v>
      </c>
      <c r="P7" s="35">
        <v>1560.6</v>
      </c>
      <c r="Q7" s="35">
        <v>1565.3</v>
      </c>
      <c r="R7" s="35">
        <v>1564</v>
      </c>
      <c r="S7" s="35">
        <v>1564.5</v>
      </c>
      <c r="T7" s="35">
        <v>1566.6</v>
      </c>
      <c r="U7" s="35">
        <v>1565.8</v>
      </c>
      <c r="V7" s="35">
        <v>1565.3</v>
      </c>
      <c r="W7" s="35">
        <v>21</v>
      </c>
      <c r="X7">
        <f t="shared" si="0"/>
        <v>1562.4047619047615</v>
      </c>
      <c r="Y7">
        <f t="shared" si="1"/>
        <v>2.1291961371550903</v>
      </c>
    </row>
  </sheetData>
  <mergeCells count="2">
    <mergeCell ref="A1:Y1"/>
    <mergeCell ref="B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7E4C-8FC7-3F42-A9B7-3CDFDF9A0A4A}">
  <dimension ref="A1:S46"/>
  <sheetViews>
    <sheetView workbookViewId="0">
      <selection activeCell="U34" sqref="U34"/>
    </sheetView>
  </sheetViews>
  <sheetFormatPr baseColWidth="10" defaultRowHeight="16" x14ac:dyDescent="0.2"/>
  <sheetData>
    <row r="1" spans="1:19" ht="22" x14ac:dyDescent="0.3">
      <c r="A1" s="63"/>
      <c r="B1" s="62" t="s">
        <v>55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19" x14ac:dyDescent="0.2">
      <c r="B2" s="49" t="s">
        <v>49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x14ac:dyDescent="0.2">
      <c r="B3" s="50" t="s">
        <v>2</v>
      </c>
      <c r="C3" s="51"/>
      <c r="D3" s="51"/>
      <c r="E3" s="51"/>
      <c r="F3" s="51"/>
      <c r="G3" s="52"/>
      <c r="H3" s="53" t="s">
        <v>4</v>
      </c>
      <c r="I3" s="53"/>
      <c r="J3" s="53"/>
      <c r="K3" s="53"/>
      <c r="L3" s="53"/>
      <c r="M3" s="53"/>
      <c r="N3" s="50" t="s">
        <v>7</v>
      </c>
      <c r="O3" s="51"/>
      <c r="P3" s="51"/>
      <c r="Q3" s="51"/>
      <c r="R3" s="51"/>
      <c r="S3" s="52"/>
    </row>
    <row r="4" spans="1:19" x14ac:dyDescent="0.2">
      <c r="B4" s="54" t="s">
        <v>45</v>
      </c>
      <c r="C4" s="47" t="s">
        <v>46</v>
      </c>
      <c r="D4" s="47" t="s">
        <v>45</v>
      </c>
      <c r="E4" s="47" t="s">
        <v>46</v>
      </c>
      <c r="F4" s="47" t="s">
        <v>45</v>
      </c>
      <c r="G4" s="55" t="s">
        <v>46</v>
      </c>
      <c r="H4" s="56" t="s">
        <v>45</v>
      </c>
      <c r="I4" s="47" t="s">
        <v>46</v>
      </c>
      <c r="J4" s="47" t="s">
        <v>45</v>
      </c>
      <c r="K4" s="47" t="s">
        <v>46</v>
      </c>
      <c r="L4" s="47" t="s">
        <v>45</v>
      </c>
      <c r="M4" s="47" t="s">
        <v>46</v>
      </c>
      <c r="N4" s="54" t="s">
        <v>45</v>
      </c>
      <c r="O4" s="47" t="s">
        <v>46</v>
      </c>
      <c r="P4" s="47" t="s">
        <v>45</v>
      </c>
      <c r="Q4" s="47" t="s">
        <v>46</v>
      </c>
      <c r="R4" s="47" t="s">
        <v>45</v>
      </c>
      <c r="S4" s="55" t="s">
        <v>46</v>
      </c>
    </row>
    <row r="5" spans="1:19" x14ac:dyDescent="0.2">
      <c r="B5" s="54" t="s">
        <v>47</v>
      </c>
      <c r="C5" s="47" t="s">
        <v>48</v>
      </c>
      <c r="D5" s="47" t="s">
        <v>47</v>
      </c>
      <c r="E5" s="47" t="s">
        <v>48</v>
      </c>
      <c r="F5" s="47" t="s">
        <v>47</v>
      </c>
      <c r="G5" s="55" t="s">
        <v>48</v>
      </c>
      <c r="H5" s="56" t="s">
        <v>47</v>
      </c>
      <c r="I5" s="47" t="s">
        <v>48</v>
      </c>
      <c r="J5" s="47" t="s">
        <v>47</v>
      </c>
      <c r="K5" s="47" t="s">
        <v>48</v>
      </c>
      <c r="L5" s="47" t="s">
        <v>47</v>
      </c>
      <c r="M5" s="47" t="s">
        <v>48</v>
      </c>
      <c r="N5" s="54" t="s">
        <v>47</v>
      </c>
      <c r="O5" s="47" t="s">
        <v>48</v>
      </c>
      <c r="P5" s="47" t="s">
        <v>47</v>
      </c>
      <c r="Q5" s="47" t="s">
        <v>48</v>
      </c>
      <c r="R5" s="47" t="s">
        <v>47</v>
      </c>
      <c r="S5" s="55" t="s">
        <v>48</v>
      </c>
    </row>
    <row r="6" spans="1:19" x14ac:dyDescent="0.2">
      <c r="B6" s="6">
        <v>9.9999199999999996E-2</v>
      </c>
      <c r="C6">
        <v>817.39599999999996</v>
      </c>
      <c r="D6">
        <v>0.10000299999999999</v>
      </c>
      <c r="E6">
        <v>822.20799999999997</v>
      </c>
      <c r="F6">
        <v>0.10000299999999999</v>
      </c>
      <c r="G6" s="7">
        <v>330.47500000000002</v>
      </c>
      <c r="H6">
        <v>0.10000299999999999</v>
      </c>
      <c r="I6">
        <v>4830.76</v>
      </c>
      <c r="J6">
        <v>9.9995899999999999E-2</v>
      </c>
      <c r="K6">
        <v>4418.97</v>
      </c>
      <c r="L6">
        <v>9.9998699999999996E-2</v>
      </c>
      <c r="M6">
        <v>5933.94</v>
      </c>
      <c r="N6" s="6">
        <v>0.100011</v>
      </c>
      <c r="O6">
        <v>5218.55</v>
      </c>
      <c r="P6">
        <v>0.100006</v>
      </c>
      <c r="Q6">
        <v>1866.09</v>
      </c>
      <c r="R6">
        <v>9.99916E-2</v>
      </c>
      <c r="S6" s="7">
        <v>2312.65</v>
      </c>
    </row>
    <row r="7" spans="1:19" x14ac:dyDescent="0.2">
      <c r="B7" s="6">
        <v>0.12589</v>
      </c>
      <c r="C7">
        <v>523.255</v>
      </c>
      <c r="D7">
        <v>0.125887</v>
      </c>
      <c r="E7">
        <v>571.97900000000004</v>
      </c>
      <c r="F7">
        <v>0.125888</v>
      </c>
      <c r="G7" s="7">
        <v>229.94200000000001</v>
      </c>
      <c r="H7">
        <v>0.12589500000000001</v>
      </c>
      <c r="I7">
        <v>3475.07</v>
      </c>
      <c r="J7">
        <v>0.12590100000000001</v>
      </c>
      <c r="K7">
        <v>2900.89</v>
      </c>
      <c r="L7">
        <v>0.125884</v>
      </c>
      <c r="M7">
        <v>4498.4399999999996</v>
      </c>
      <c r="N7" s="6">
        <v>0.125893</v>
      </c>
      <c r="O7">
        <v>3000.59</v>
      </c>
      <c r="P7">
        <v>0.125893</v>
      </c>
      <c r="Q7">
        <v>1232.1500000000001</v>
      </c>
      <c r="R7">
        <v>0.125888</v>
      </c>
      <c r="S7" s="7">
        <v>1619.24</v>
      </c>
    </row>
    <row r="8" spans="1:19" x14ac:dyDescent="0.2">
      <c r="B8" s="6">
        <v>0.15848599999999999</v>
      </c>
      <c r="C8">
        <v>368.39</v>
      </c>
      <c r="D8">
        <v>0.15849099999999999</v>
      </c>
      <c r="E8">
        <v>428.95499999999998</v>
      </c>
      <c r="F8">
        <v>0.15849099999999999</v>
      </c>
      <c r="G8" s="7">
        <v>167.762</v>
      </c>
      <c r="H8">
        <v>0.15849199999999999</v>
      </c>
      <c r="I8">
        <v>2632.65</v>
      </c>
      <c r="J8">
        <v>0.158495</v>
      </c>
      <c r="K8">
        <v>2154.42</v>
      </c>
      <c r="L8">
        <v>0.15848599999999999</v>
      </c>
      <c r="M8">
        <v>3504.97</v>
      </c>
      <c r="N8" s="6">
        <v>0.15848799999999999</v>
      </c>
      <c r="O8">
        <v>2260.8200000000002</v>
      </c>
      <c r="P8">
        <v>0.15848499999999999</v>
      </c>
      <c r="Q8">
        <v>984.33699999999999</v>
      </c>
      <c r="R8">
        <v>0.158497</v>
      </c>
      <c r="S8" s="7">
        <v>1288.82</v>
      </c>
    </row>
    <row r="9" spans="1:19" x14ac:dyDescent="0.2">
      <c r="B9" s="6">
        <v>0.19952800000000001</v>
      </c>
      <c r="C9">
        <v>265.93099999999998</v>
      </c>
      <c r="D9">
        <v>0.19951199999999999</v>
      </c>
      <c r="E9">
        <v>326.59300000000002</v>
      </c>
      <c r="F9">
        <v>0.19952700000000001</v>
      </c>
      <c r="G9" s="7">
        <v>130.27699999999999</v>
      </c>
      <c r="H9">
        <v>0.19953000000000001</v>
      </c>
      <c r="I9">
        <v>1904.56</v>
      </c>
      <c r="J9">
        <v>0.19952300000000001</v>
      </c>
      <c r="K9">
        <v>1551.53</v>
      </c>
      <c r="L9">
        <v>0.199518</v>
      </c>
      <c r="M9">
        <v>2601.56</v>
      </c>
      <c r="N9" s="6">
        <v>0.199542</v>
      </c>
      <c r="O9">
        <v>1795.95</v>
      </c>
      <c r="P9">
        <v>0.19950300000000001</v>
      </c>
      <c r="Q9">
        <v>785.25699999999995</v>
      </c>
      <c r="R9">
        <v>0.19953899999999999</v>
      </c>
      <c r="S9" s="7">
        <v>1010.57</v>
      </c>
    </row>
    <row r="10" spans="1:19" x14ac:dyDescent="0.2">
      <c r="B10" s="6">
        <v>0.25120100000000001</v>
      </c>
      <c r="C10">
        <v>192.52</v>
      </c>
      <c r="D10">
        <v>0.25118400000000002</v>
      </c>
      <c r="E10">
        <v>249.59100000000001</v>
      </c>
      <c r="F10">
        <v>0.25119000000000002</v>
      </c>
      <c r="G10" s="7">
        <v>95.469499999999996</v>
      </c>
      <c r="H10">
        <v>0.25118200000000002</v>
      </c>
      <c r="I10">
        <v>1513.83</v>
      </c>
      <c r="J10">
        <v>0.25119000000000002</v>
      </c>
      <c r="K10">
        <v>1206.58</v>
      </c>
      <c r="L10">
        <v>0.25118299999999999</v>
      </c>
      <c r="M10">
        <v>2025.96</v>
      </c>
      <c r="N10" s="6">
        <v>0.25120199999999998</v>
      </c>
      <c r="O10">
        <v>1433.99</v>
      </c>
      <c r="P10">
        <v>0.251197</v>
      </c>
      <c r="Q10">
        <v>623.90200000000004</v>
      </c>
      <c r="R10">
        <v>0.25118800000000002</v>
      </c>
      <c r="S10" s="7">
        <v>766.04399999999998</v>
      </c>
    </row>
    <row r="11" spans="1:19" x14ac:dyDescent="0.2">
      <c r="B11" s="6">
        <v>0.31623899999999999</v>
      </c>
      <c r="C11">
        <v>139.39099999999999</v>
      </c>
      <c r="D11">
        <v>0.31622899999999998</v>
      </c>
      <c r="E11">
        <v>188.60400000000001</v>
      </c>
      <c r="F11">
        <v>0.31622699999999998</v>
      </c>
      <c r="G11" s="7">
        <v>73.492699999999999</v>
      </c>
      <c r="H11">
        <v>0.31623699999999999</v>
      </c>
      <c r="I11">
        <v>1215.06</v>
      </c>
      <c r="J11">
        <v>0.31623200000000001</v>
      </c>
      <c r="K11">
        <v>888.45799999999997</v>
      </c>
      <c r="L11">
        <v>0.31621700000000003</v>
      </c>
      <c r="M11">
        <v>1605.36</v>
      </c>
      <c r="N11" s="6">
        <v>0.31622600000000001</v>
      </c>
      <c r="O11">
        <v>1143.0899999999999</v>
      </c>
      <c r="P11">
        <v>0.31622699999999998</v>
      </c>
      <c r="Q11">
        <v>495.18099999999998</v>
      </c>
      <c r="R11">
        <v>0.316251</v>
      </c>
      <c r="S11" s="7">
        <v>610.63400000000001</v>
      </c>
    </row>
    <row r="12" spans="1:19" x14ac:dyDescent="0.2">
      <c r="B12" s="6">
        <v>0.398094</v>
      </c>
      <c r="C12">
        <v>106.92400000000001</v>
      </c>
      <c r="D12">
        <v>0.39810499999999999</v>
      </c>
      <c r="E12">
        <v>148.50800000000001</v>
      </c>
      <c r="F12">
        <v>0.39811099999999999</v>
      </c>
      <c r="G12" s="7">
        <v>56.637700000000002</v>
      </c>
      <c r="H12">
        <v>0.39812900000000001</v>
      </c>
      <c r="I12">
        <v>945.44200000000001</v>
      </c>
      <c r="J12">
        <v>0.39809899999999998</v>
      </c>
      <c r="K12">
        <v>685.67100000000005</v>
      </c>
      <c r="L12">
        <v>0.39807799999999999</v>
      </c>
      <c r="M12">
        <v>1210.02</v>
      </c>
      <c r="N12" s="6">
        <v>0.39811600000000003</v>
      </c>
      <c r="O12">
        <v>888.04600000000005</v>
      </c>
      <c r="P12">
        <v>0.39812399999999998</v>
      </c>
      <c r="Q12">
        <v>386.88099999999997</v>
      </c>
      <c r="R12">
        <v>0.39809</v>
      </c>
      <c r="S12" s="7">
        <v>491.48099999999999</v>
      </c>
    </row>
    <row r="13" spans="1:19" x14ac:dyDescent="0.2">
      <c r="B13" s="6">
        <v>0.50118499999999999</v>
      </c>
      <c r="C13">
        <v>82.375799999999998</v>
      </c>
      <c r="D13">
        <v>0.50115299999999996</v>
      </c>
      <c r="E13">
        <v>123.182</v>
      </c>
      <c r="F13">
        <v>0.50118600000000002</v>
      </c>
      <c r="G13" s="7">
        <v>42.842799999999997</v>
      </c>
      <c r="H13">
        <v>0.50119499999999995</v>
      </c>
      <c r="I13">
        <v>736.13</v>
      </c>
      <c r="J13">
        <v>0.50118600000000002</v>
      </c>
      <c r="K13">
        <v>543.74599999999998</v>
      </c>
      <c r="L13">
        <v>0.50115600000000005</v>
      </c>
      <c r="M13">
        <v>978.74699999999996</v>
      </c>
      <c r="N13" s="6">
        <v>0.50119100000000005</v>
      </c>
      <c r="O13">
        <v>718.54499999999996</v>
      </c>
      <c r="P13">
        <v>0.50119499999999995</v>
      </c>
      <c r="Q13">
        <v>318.87099999999998</v>
      </c>
      <c r="R13">
        <v>0.50120200000000004</v>
      </c>
      <c r="S13" s="7">
        <v>394.47899999999998</v>
      </c>
    </row>
    <row r="14" spans="1:19" x14ac:dyDescent="0.2">
      <c r="B14" s="6">
        <v>0.63095299999999999</v>
      </c>
      <c r="C14">
        <v>63.684800000000003</v>
      </c>
      <c r="D14">
        <v>0.630942</v>
      </c>
      <c r="E14">
        <v>98.719300000000004</v>
      </c>
      <c r="F14">
        <v>0.63095800000000002</v>
      </c>
      <c r="G14" s="7">
        <v>34.2059</v>
      </c>
      <c r="H14">
        <v>0.63098299999999996</v>
      </c>
      <c r="I14">
        <v>638.89400000000001</v>
      </c>
      <c r="J14">
        <v>0.63094499999999998</v>
      </c>
      <c r="K14">
        <v>416.26600000000002</v>
      </c>
      <c r="L14">
        <v>0.63094899999999998</v>
      </c>
      <c r="M14">
        <v>797.69200000000001</v>
      </c>
      <c r="N14" s="6">
        <v>0.63100599999999996</v>
      </c>
      <c r="O14">
        <v>603.60799999999995</v>
      </c>
      <c r="P14">
        <v>0.63094700000000004</v>
      </c>
      <c r="Q14">
        <v>249.81100000000001</v>
      </c>
      <c r="R14">
        <v>0.63095699999999999</v>
      </c>
      <c r="S14" s="7">
        <v>309.74400000000003</v>
      </c>
    </row>
    <row r="15" spans="1:19" x14ac:dyDescent="0.2">
      <c r="B15" s="6">
        <v>0.79432199999999997</v>
      </c>
      <c r="C15">
        <v>50.718499999999999</v>
      </c>
      <c r="D15">
        <v>0.79427800000000004</v>
      </c>
      <c r="E15">
        <v>84.1524</v>
      </c>
      <c r="F15">
        <v>0.794323</v>
      </c>
      <c r="G15" s="7">
        <v>26.586400000000001</v>
      </c>
      <c r="H15">
        <v>0.79429000000000005</v>
      </c>
      <c r="I15">
        <v>506.36599999999999</v>
      </c>
      <c r="J15">
        <v>0.79433799999999999</v>
      </c>
      <c r="K15">
        <v>336.04599999999999</v>
      </c>
      <c r="L15">
        <v>0.794319</v>
      </c>
      <c r="M15">
        <v>655.21400000000006</v>
      </c>
      <c r="N15" s="6">
        <v>0.79433799999999999</v>
      </c>
      <c r="O15">
        <v>485.81</v>
      </c>
      <c r="P15">
        <v>0.79429400000000006</v>
      </c>
      <c r="Q15">
        <v>201.678</v>
      </c>
      <c r="R15">
        <v>0.794323</v>
      </c>
      <c r="S15" s="7">
        <v>253.34299999999999</v>
      </c>
    </row>
    <row r="16" spans="1:19" x14ac:dyDescent="0.2">
      <c r="B16" s="6">
        <v>1.0000199999999999</v>
      </c>
      <c r="C16">
        <v>41.042700000000004</v>
      </c>
      <c r="D16">
        <v>0.99998500000000001</v>
      </c>
      <c r="E16">
        <v>71.200100000000006</v>
      </c>
      <c r="F16">
        <v>0.99997199999999997</v>
      </c>
      <c r="G16" s="7">
        <v>22.083200000000001</v>
      </c>
      <c r="H16">
        <v>0.99996099999999999</v>
      </c>
      <c r="I16">
        <v>441.077</v>
      </c>
      <c r="J16">
        <v>0.99999899999999997</v>
      </c>
      <c r="K16">
        <v>263.57100000000003</v>
      </c>
      <c r="L16">
        <v>0.99996799999999997</v>
      </c>
      <c r="M16">
        <v>543.08600000000001</v>
      </c>
      <c r="N16" s="6">
        <v>0.99999800000000005</v>
      </c>
      <c r="O16">
        <v>408.202</v>
      </c>
      <c r="P16">
        <v>0.99997400000000003</v>
      </c>
      <c r="Q16">
        <v>159.12700000000001</v>
      </c>
      <c r="R16">
        <v>0.999977</v>
      </c>
      <c r="S16" s="7">
        <v>205.61699999999999</v>
      </c>
    </row>
    <row r="17" spans="2:19" x14ac:dyDescent="0.2">
      <c r="B17" s="6">
        <v>1.2589699999999999</v>
      </c>
      <c r="C17">
        <v>33.4651</v>
      </c>
      <c r="D17">
        <v>1.2588900000000001</v>
      </c>
      <c r="E17">
        <v>60.320700000000002</v>
      </c>
      <c r="F17">
        <v>1.25892</v>
      </c>
      <c r="G17" s="7">
        <v>17.821000000000002</v>
      </c>
      <c r="H17">
        <v>1.25892</v>
      </c>
      <c r="I17">
        <v>368.38400000000001</v>
      </c>
      <c r="J17">
        <v>1.25888</v>
      </c>
      <c r="K17">
        <v>212.63</v>
      </c>
      <c r="L17">
        <v>1.25892</v>
      </c>
      <c r="M17">
        <v>449.36700000000002</v>
      </c>
      <c r="N17" s="6">
        <v>1.25898</v>
      </c>
      <c r="O17">
        <v>348.54899999999998</v>
      </c>
      <c r="P17">
        <v>1.25891</v>
      </c>
      <c r="Q17">
        <v>127.042</v>
      </c>
      <c r="R17">
        <v>1.25892</v>
      </c>
      <c r="S17" s="7">
        <v>167.96299999999999</v>
      </c>
    </row>
    <row r="18" spans="2:19" x14ac:dyDescent="0.2">
      <c r="B18" s="6">
        <v>1.58487</v>
      </c>
      <c r="C18">
        <v>27.8171</v>
      </c>
      <c r="D18">
        <v>1.58487</v>
      </c>
      <c r="E18">
        <v>51.996200000000002</v>
      </c>
      <c r="F18">
        <v>1.58487</v>
      </c>
      <c r="G18" s="7">
        <v>14.9259</v>
      </c>
      <c r="H18">
        <v>1.5848199999999999</v>
      </c>
      <c r="I18">
        <v>312.47500000000002</v>
      </c>
      <c r="J18">
        <v>1.5848800000000001</v>
      </c>
      <c r="K18">
        <v>173.46700000000001</v>
      </c>
      <c r="L18">
        <v>1.58483</v>
      </c>
      <c r="M18">
        <v>374.17</v>
      </c>
      <c r="N18" s="6">
        <v>1.58491</v>
      </c>
      <c r="O18">
        <v>301.779</v>
      </c>
      <c r="P18">
        <v>1.58483</v>
      </c>
      <c r="Q18">
        <v>101.758</v>
      </c>
      <c r="R18">
        <v>1.5847500000000001</v>
      </c>
      <c r="S18" s="7">
        <v>139.02799999999999</v>
      </c>
    </row>
    <row r="19" spans="2:19" x14ac:dyDescent="0.2">
      <c r="B19" s="6">
        <v>1.99519</v>
      </c>
      <c r="C19">
        <v>23.0962</v>
      </c>
      <c r="D19">
        <v>1.9951099999999999</v>
      </c>
      <c r="E19">
        <v>43.642800000000001</v>
      </c>
      <c r="F19">
        <v>1.99515</v>
      </c>
      <c r="G19" s="7">
        <v>12.7347</v>
      </c>
      <c r="H19">
        <v>1.99526</v>
      </c>
      <c r="I19">
        <v>262.50700000000001</v>
      </c>
      <c r="J19">
        <v>1.9953799999999999</v>
      </c>
      <c r="K19">
        <v>138.733</v>
      </c>
      <c r="L19">
        <v>1.9952000000000001</v>
      </c>
      <c r="M19">
        <v>309.09300000000002</v>
      </c>
      <c r="N19" s="6">
        <v>1.9952799999999999</v>
      </c>
      <c r="O19">
        <v>255.62299999999999</v>
      </c>
      <c r="P19">
        <v>1.99525</v>
      </c>
      <c r="Q19">
        <v>80.067899999999995</v>
      </c>
      <c r="R19">
        <v>1.99533</v>
      </c>
      <c r="S19" s="7">
        <v>114.477</v>
      </c>
    </row>
    <row r="20" spans="2:19" x14ac:dyDescent="0.2">
      <c r="B20" s="6">
        <v>2.5119400000000001</v>
      </c>
      <c r="C20">
        <v>19.505500000000001</v>
      </c>
      <c r="D20">
        <v>2.5118499999999999</v>
      </c>
      <c r="E20">
        <v>37.580399999999997</v>
      </c>
      <c r="F20">
        <v>2.5118</v>
      </c>
      <c r="G20" s="7">
        <v>10.8787</v>
      </c>
      <c r="H20">
        <v>2.5117099999999999</v>
      </c>
      <c r="I20">
        <v>216.26</v>
      </c>
      <c r="J20">
        <v>2.5118499999999999</v>
      </c>
      <c r="K20">
        <v>109.414</v>
      </c>
      <c r="L20">
        <v>2.5116800000000001</v>
      </c>
      <c r="M20">
        <v>254.64099999999999</v>
      </c>
      <c r="N20" s="6">
        <v>2.51206</v>
      </c>
      <c r="O20">
        <v>214.684</v>
      </c>
      <c r="P20">
        <v>2.5119799999999999</v>
      </c>
      <c r="Q20">
        <v>63.709899999999998</v>
      </c>
      <c r="R20">
        <v>2.5119799999999999</v>
      </c>
      <c r="S20" s="7">
        <v>96.437700000000007</v>
      </c>
    </row>
    <row r="21" spans="2:19" x14ac:dyDescent="0.2">
      <c r="B21" s="6">
        <v>3.1623700000000001</v>
      </c>
      <c r="C21">
        <v>16.3813</v>
      </c>
      <c r="D21">
        <v>3.1622499999999998</v>
      </c>
      <c r="E21">
        <v>32.160899999999998</v>
      </c>
      <c r="F21">
        <v>3.1623000000000001</v>
      </c>
      <c r="G21" s="7">
        <v>9.3149599999999992</v>
      </c>
      <c r="H21">
        <v>3.1624099999999999</v>
      </c>
      <c r="I21">
        <v>175.93</v>
      </c>
      <c r="J21">
        <v>3.1621199999999998</v>
      </c>
      <c r="K21">
        <v>86.703199999999995</v>
      </c>
      <c r="L21">
        <v>3.1620699999999999</v>
      </c>
      <c r="M21">
        <v>207.40100000000001</v>
      </c>
      <c r="N21" s="6">
        <v>3.1623399999999999</v>
      </c>
      <c r="O21">
        <v>180.47499999999999</v>
      </c>
      <c r="P21">
        <v>3.1622699999999999</v>
      </c>
      <c r="Q21">
        <v>50.859499999999997</v>
      </c>
      <c r="R21">
        <v>3.1623700000000001</v>
      </c>
      <c r="S21" s="7">
        <v>79.9863</v>
      </c>
    </row>
    <row r="22" spans="2:19" x14ac:dyDescent="0.2">
      <c r="B22" s="6">
        <v>3.9812799999999999</v>
      </c>
      <c r="C22">
        <v>13.838100000000001</v>
      </c>
      <c r="D22">
        <v>3.98088</v>
      </c>
      <c r="E22">
        <v>27.868600000000001</v>
      </c>
      <c r="F22">
        <v>3.9807899999999998</v>
      </c>
      <c r="G22" s="7">
        <v>7.9145399999999997</v>
      </c>
      <c r="H22">
        <v>3.9810099999999999</v>
      </c>
      <c r="I22">
        <v>141.80199999999999</v>
      </c>
      <c r="J22">
        <v>3.9811399999999999</v>
      </c>
      <c r="K22">
        <v>70.283699999999996</v>
      </c>
      <c r="L22">
        <v>3.9811800000000002</v>
      </c>
      <c r="M22">
        <v>166.87799999999999</v>
      </c>
      <c r="N22" s="6">
        <v>3.9811100000000001</v>
      </c>
      <c r="O22">
        <v>151.625</v>
      </c>
      <c r="P22">
        <v>3.98102</v>
      </c>
      <c r="Q22">
        <v>40.859499999999997</v>
      </c>
      <c r="R22">
        <v>3.9811999999999999</v>
      </c>
      <c r="S22" s="7">
        <v>65.974800000000002</v>
      </c>
    </row>
    <row r="23" spans="2:19" x14ac:dyDescent="0.2">
      <c r="B23" s="6">
        <v>5.01213</v>
      </c>
      <c r="C23">
        <v>11.6234</v>
      </c>
      <c r="D23">
        <v>5.0117799999999999</v>
      </c>
      <c r="E23">
        <v>24.1434</v>
      </c>
      <c r="F23">
        <v>5.0119199999999999</v>
      </c>
      <c r="G23" s="7">
        <v>6.8119300000000003</v>
      </c>
      <c r="H23">
        <v>5.0121200000000004</v>
      </c>
      <c r="I23">
        <v>115.369</v>
      </c>
      <c r="J23">
        <v>5.0117900000000004</v>
      </c>
      <c r="K23">
        <v>56.942999999999998</v>
      </c>
      <c r="L23">
        <v>5.0118</v>
      </c>
      <c r="M23">
        <v>133.917</v>
      </c>
      <c r="N23" s="6">
        <v>5.0114700000000001</v>
      </c>
      <c r="O23">
        <v>126.69</v>
      </c>
      <c r="P23">
        <v>5.0119600000000002</v>
      </c>
      <c r="Q23">
        <v>32.923299999999998</v>
      </c>
      <c r="R23">
        <v>5.0124199999999997</v>
      </c>
      <c r="S23" s="7">
        <v>54.226500000000001</v>
      </c>
    </row>
    <row r="24" spans="2:19" x14ac:dyDescent="0.2">
      <c r="B24" s="6">
        <v>6.3094599999999996</v>
      </c>
      <c r="C24">
        <v>9.6944900000000001</v>
      </c>
      <c r="D24">
        <v>6.3094999999999999</v>
      </c>
      <c r="E24">
        <v>20.707100000000001</v>
      </c>
      <c r="F24">
        <v>6.3094099999999997</v>
      </c>
      <c r="G24" s="7">
        <v>5.9146999999999998</v>
      </c>
      <c r="H24">
        <v>6.3099299999999996</v>
      </c>
      <c r="I24">
        <v>94.144199999999998</v>
      </c>
      <c r="J24">
        <v>6.3096800000000002</v>
      </c>
      <c r="K24">
        <v>47.162999999999997</v>
      </c>
      <c r="L24">
        <v>6.3094999999999999</v>
      </c>
      <c r="M24">
        <v>106.649</v>
      </c>
      <c r="N24" s="6">
        <v>6.3096500000000004</v>
      </c>
      <c r="O24">
        <v>106.101</v>
      </c>
      <c r="P24">
        <v>6.3091999999999997</v>
      </c>
      <c r="Q24">
        <v>26.703800000000001</v>
      </c>
      <c r="R24">
        <v>6.3095499999999998</v>
      </c>
      <c r="S24" s="7">
        <v>44.660200000000003</v>
      </c>
    </row>
    <row r="25" spans="2:19" x14ac:dyDescent="0.2">
      <c r="B25" s="6">
        <v>7.9434300000000002</v>
      </c>
      <c r="C25">
        <v>8.1243800000000004</v>
      </c>
      <c r="D25">
        <v>7.9428799999999997</v>
      </c>
      <c r="E25">
        <v>17.9192</v>
      </c>
      <c r="F25">
        <v>7.9426600000000001</v>
      </c>
      <c r="G25" s="7">
        <v>5.1313000000000004</v>
      </c>
      <c r="H25">
        <v>7.94339</v>
      </c>
      <c r="I25">
        <v>75.708200000000005</v>
      </c>
      <c r="J25">
        <v>7.9438500000000003</v>
      </c>
      <c r="K25">
        <v>39.515799999999999</v>
      </c>
      <c r="L25">
        <v>7.94374</v>
      </c>
      <c r="M25">
        <v>85.169899999999998</v>
      </c>
      <c r="N25" s="6">
        <v>7.9430800000000001</v>
      </c>
      <c r="O25">
        <v>88.502200000000002</v>
      </c>
      <c r="P25">
        <v>7.9434500000000003</v>
      </c>
      <c r="Q25">
        <v>21.956199999999999</v>
      </c>
      <c r="R25">
        <v>7.9433800000000003</v>
      </c>
      <c r="S25" s="7">
        <v>36.881700000000002</v>
      </c>
    </row>
    <row r="26" spans="2:19" x14ac:dyDescent="0.2">
      <c r="B26" s="6">
        <v>10.0001</v>
      </c>
      <c r="C26">
        <v>6.8033200000000003</v>
      </c>
      <c r="D26">
        <v>9.9998699999999996</v>
      </c>
      <c r="E26">
        <v>15.2524</v>
      </c>
      <c r="F26">
        <v>10.0001</v>
      </c>
      <c r="G26" s="7">
        <v>4.3981399999999997</v>
      </c>
      <c r="H26">
        <v>10.0002</v>
      </c>
      <c r="I26">
        <v>60.708199999999998</v>
      </c>
      <c r="J26">
        <v>10.0001</v>
      </c>
      <c r="K26">
        <v>33.057299999999998</v>
      </c>
      <c r="L26">
        <v>9.9995100000000008</v>
      </c>
      <c r="M26">
        <v>67.354299999999995</v>
      </c>
      <c r="N26" s="6">
        <v>10.000299999999999</v>
      </c>
      <c r="O26">
        <v>73.510999999999996</v>
      </c>
      <c r="P26">
        <v>9.9995700000000003</v>
      </c>
      <c r="Q26">
        <v>18.257100000000001</v>
      </c>
      <c r="R26">
        <v>9.9994099999999992</v>
      </c>
      <c r="S26" s="7">
        <v>30.265999999999998</v>
      </c>
    </row>
    <row r="27" spans="2:19" x14ac:dyDescent="0.2">
      <c r="B27" s="6">
        <v>12.589600000000001</v>
      </c>
      <c r="C27">
        <v>5.61944</v>
      </c>
      <c r="D27">
        <v>12.5886</v>
      </c>
      <c r="E27">
        <v>12.975300000000001</v>
      </c>
      <c r="F27">
        <v>12.589</v>
      </c>
      <c r="G27" s="7">
        <v>3.7942399999999998</v>
      </c>
      <c r="H27">
        <v>12.589700000000001</v>
      </c>
      <c r="I27">
        <v>49.035299999999999</v>
      </c>
      <c r="J27">
        <v>12.5892</v>
      </c>
      <c r="K27">
        <v>27.357500000000002</v>
      </c>
      <c r="L27">
        <v>12.588699999999999</v>
      </c>
      <c r="M27">
        <v>52.973999999999997</v>
      </c>
      <c r="N27" s="6">
        <v>12.5892</v>
      </c>
      <c r="O27">
        <v>60.814900000000002</v>
      </c>
      <c r="P27">
        <v>12.588800000000001</v>
      </c>
      <c r="Q27">
        <v>15.435</v>
      </c>
      <c r="R27">
        <v>12.5893</v>
      </c>
      <c r="S27" s="7">
        <v>24.886700000000001</v>
      </c>
    </row>
    <row r="28" spans="2:19" x14ac:dyDescent="0.2">
      <c r="B28" s="6">
        <v>15.848800000000001</v>
      </c>
      <c r="C28">
        <v>4.6718400000000004</v>
      </c>
      <c r="D28">
        <v>15.848800000000001</v>
      </c>
      <c r="E28">
        <v>11.0321</v>
      </c>
      <c r="F28">
        <v>15.849500000000001</v>
      </c>
      <c r="G28" s="7">
        <v>3.2877299999999998</v>
      </c>
      <c r="H28">
        <v>15.849299999999999</v>
      </c>
      <c r="I28">
        <v>38.9495</v>
      </c>
      <c r="J28">
        <v>15.849</v>
      </c>
      <c r="K28">
        <v>22.201799999999999</v>
      </c>
      <c r="L28">
        <v>15.8485</v>
      </c>
      <c r="M28">
        <v>41.763399999999997</v>
      </c>
      <c r="N28" s="6">
        <v>15.849299999999999</v>
      </c>
      <c r="O28">
        <v>49.508899999999997</v>
      </c>
      <c r="P28">
        <v>15.8491</v>
      </c>
      <c r="Q28">
        <v>12.907999999999999</v>
      </c>
      <c r="R28">
        <v>15.849600000000001</v>
      </c>
      <c r="S28" s="7">
        <v>20.309100000000001</v>
      </c>
    </row>
    <row r="29" spans="2:19" x14ac:dyDescent="0.2">
      <c r="B29" s="6">
        <v>19.9529</v>
      </c>
      <c r="C29">
        <v>3.9282300000000001</v>
      </c>
      <c r="D29">
        <v>19.951599999999999</v>
      </c>
      <c r="E29">
        <v>9.3115299999999994</v>
      </c>
      <c r="F29">
        <v>19.953199999999999</v>
      </c>
      <c r="G29" s="7">
        <v>2.8337400000000001</v>
      </c>
      <c r="H29">
        <v>19.952500000000001</v>
      </c>
      <c r="I29">
        <v>30.4969</v>
      </c>
      <c r="J29">
        <v>19.9526</v>
      </c>
      <c r="K29">
        <v>17.901800000000001</v>
      </c>
      <c r="L29">
        <v>19.951699999999999</v>
      </c>
      <c r="M29">
        <v>32.899500000000003</v>
      </c>
      <c r="N29" s="6">
        <v>19.9526</v>
      </c>
      <c r="O29">
        <v>39.699399999999997</v>
      </c>
      <c r="P29">
        <v>19.952200000000001</v>
      </c>
      <c r="Q29">
        <v>10.8249</v>
      </c>
      <c r="R29">
        <v>19.9527</v>
      </c>
      <c r="S29" s="7">
        <v>16.328399999999998</v>
      </c>
    </row>
    <row r="30" spans="2:19" x14ac:dyDescent="0.2">
      <c r="B30" s="6">
        <v>25.118500000000001</v>
      </c>
      <c r="C30">
        <v>3.3477199999999998</v>
      </c>
      <c r="D30">
        <v>25.1174</v>
      </c>
      <c r="E30">
        <v>7.8471000000000002</v>
      </c>
      <c r="F30">
        <v>25.117699999999999</v>
      </c>
      <c r="G30" s="7">
        <v>2.4228999999999998</v>
      </c>
      <c r="H30">
        <v>25.119499999999999</v>
      </c>
      <c r="I30">
        <v>23.140499999999999</v>
      </c>
      <c r="J30">
        <v>25.120100000000001</v>
      </c>
      <c r="K30">
        <v>14.39</v>
      </c>
      <c r="L30">
        <v>25.1175</v>
      </c>
      <c r="M30">
        <v>25.806699999999999</v>
      </c>
      <c r="N30" s="6">
        <v>25.1188</v>
      </c>
      <c r="O30">
        <v>31.041799999999999</v>
      </c>
      <c r="P30">
        <v>25.118400000000001</v>
      </c>
      <c r="Q30">
        <v>9.1143400000000003</v>
      </c>
      <c r="R30">
        <v>25.119900000000001</v>
      </c>
      <c r="S30" s="7">
        <v>13.0403</v>
      </c>
    </row>
    <row r="31" spans="2:19" x14ac:dyDescent="0.2">
      <c r="B31" s="6">
        <v>31.622800000000002</v>
      </c>
      <c r="C31">
        <v>2.92977</v>
      </c>
      <c r="D31">
        <v>31.621700000000001</v>
      </c>
      <c r="E31">
        <v>6.5139500000000004</v>
      </c>
      <c r="F31">
        <v>31.621200000000002</v>
      </c>
      <c r="G31" s="7">
        <v>2.0482999999999998</v>
      </c>
      <c r="H31">
        <v>31.622199999999999</v>
      </c>
      <c r="I31">
        <v>17.479900000000001</v>
      </c>
      <c r="J31">
        <v>31.6234</v>
      </c>
      <c r="K31">
        <v>11.5494</v>
      </c>
      <c r="L31">
        <v>31.623000000000001</v>
      </c>
      <c r="M31">
        <v>19.9725</v>
      </c>
      <c r="N31" s="6">
        <v>31.6234</v>
      </c>
      <c r="O31">
        <v>24.142299999999999</v>
      </c>
      <c r="P31">
        <v>31.622800000000002</v>
      </c>
      <c r="Q31">
        <v>7.6557899999999997</v>
      </c>
      <c r="R31">
        <v>31.6235</v>
      </c>
      <c r="S31" s="7">
        <v>10.3866</v>
      </c>
    </row>
    <row r="32" spans="2:19" x14ac:dyDescent="0.2">
      <c r="B32" s="6">
        <v>39.811599999999999</v>
      </c>
      <c r="C32">
        <v>2.6591</v>
      </c>
      <c r="D32">
        <v>39.808900000000001</v>
      </c>
      <c r="E32">
        <v>5.3228600000000004</v>
      </c>
      <c r="F32">
        <v>39.810499999999998</v>
      </c>
      <c r="G32" s="7">
        <v>1.7168099999999999</v>
      </c>
      <c r="H32">
        <v>39.810499999999998</v>
      </c>
      <c r="I32">
        <v>13.183199999999999</v>
      </c>
      <c r="J32">
        <v>39.810699999999997</v>
      </c>
      <c r="K32">
        <v>9.1919000000000004</v>
      </c>
      <c r="L32">
        <v>39.810499999999998</v>
      </c>
      <c r="M32">
        <v>15.617100000000001</v>
      </c>
      <c r="N32" s="6">
        <v>39.812600000000003</v>
      </c>
      <c r="O32">
        <v>18.861000000000001</v>
      </c>
      <c r="P32">
        <v>39.811399999999999</v>
      </c>
      <c r="Q32">
        <v>6.4229200000000004</v>
      </c>
      <c r="R32">
        <v>39.811199999999999</v>
      </c>
      <c r="S32" s="7">
        <v>8.4516600000000004</v>
      </c>
    </row>
    <row r="33" spans="2:19" x14ac:dyDescent="0.2">
      <c r="B33" s="6">
        <v>50.1188</v>
      </c>
      <c r="C33">
        <v>2.4190700000000001</v>
      </c>
      <c r="D33">
        <v>50.119100000000003</v>
      </c>
      <c r="E33">
        <v>4.6012199999999996</v>
      </c>
      <c r="F33">
        <v>50.117800000000003</v>
      </c>
      <c r="G33" s="7">
        <v>1.3890800000000001</v>
      </c>
      <c r="H33">
        <v>50.1188</v>
      </c>
      <c r="I33">
        <v>9.9950799999999997</v>
      </c>
      <c r="J33">
        <v>50.118200000000002</v>
      </c>
      <c r="K33">
        <v>7.32897</v>
      </c>
      <c r="L33">
        <v>50.119599999999998</v>
      </c>
      <c r="M33">
        <v>12.2195</v>
      </c>
      <c r="N33" s="6">
        <v>50.121400000000001</v>
      </c>
      <c r="O33">
        <v>14.172000000000001</v>
      </c>
      <c r="P33">
        <v>50.118899999999996</v>
      </c>
      <c r="Q33">
        <v>5.4603799999999998</v>
      </c>
      <c r="R33">
        <v>50.119100000000003</v>
      </c>
      <c r="S33" s="7">
        <v>6.8643099999999997</v>
      </c>
    </row>
    <row r="34" spans="2:19" x14ac:dyDescent="0.2">
      <c r="B34" s="6">
        <v>63.097799999999999</v>
      </c>
      <c r="C34">
        <v>2.1381299999999999</v>
      </c>
      <c r="D34">
        <v>63.093200000000003</v>
      </c>
      <c r="E34">
        <v>3.90002</v>
      </c>
      <c r="F34">
        <v>63.094999999999999</v>
      </c>
      <c r="G34" s="7">
        <v>1.1151800000000001</v>
      </c>
      <c r="H34">
        <v>63.094999999999999</v>
      </c>
      <c r="I34">
        <v>7.7021300000000004</v>
      </c>
      <c r="J34">
        <v>63.095799999999997</v>
      </c>
      <c r="K34">
        <v>5.81419</v>
      </c>
      <c r="L34">
        <v>63.096299999999999</v>
      </c>
      <c r="M34">
        <v>9.5086899999999996</v>
      </c>
      <c r="N34" s="6">
        <v>63.097000000000001</v>
      </c>
      <c r="O34">
        <v>10.7035</v>
      </c>
      <c r="P34">
        <v>63.0929</v>
      </c>
      <c r="Q34">
        <v>4.6005099999999999</v>
      </c>
      <c r="R34">
        <v>63.096899999999998</v>
      </c>
      <c r="S34" s="7">
        <v>5.5719900000000004</v>
      </c>
    </row>
    <row r="35" spans="2:19" x14ac:dyDescent="0.2">
      <c r="B35" s="6">
        <v>79.435900000000004</v>
      </c>
      <c r="C35">
        <v>1.8423499999999999</v>
      </c>
      <c r="D35">
        <v>79.430099999999996</v>
      </c>
      <c r="E35">
        <v>3.2946</v>
      </c>
      <c r="F35">
        <v>79.4315</v>
      </c>
      <c r="G35" s="7">
        <v>0.93269400000000002</v>
      </c>
      <c r="H35">
        <v>79.433099999999996</v>
      </c>
      <c r="I35">
        <v>5.9666499999999996</v>
      </c>
      <c r="J35">
        <v>79.4345</v>
      </c>
      <c r="K35">
        <v>4.5845200000000004</v>
      </c>
      <c r="L35">
        <v>79.433099999999996</v>
      </c>
      <c r="M35">
        <v>7.4530599999999998</v>
      </c>
      <c r="N35" s="6">
        <v>79.435299999999998</v>
      </c>
      <c r="O35">
        <v>8.0246999999999993</v>
      </c>
      <c r="P35">
        <v>79.434200000000004</v>
      </c>
      <c r="Q35">
        <v>3.8699599999999998</v>
      </c>
      <c r="R35">
        <v>79.433099999999996</v>
      </c>
      <c r="S35" s="7">
        <v>4.5105899999999997</v>
      </c>
    </row>
    <row r="36" spans="2:19" x14ac:dyDescent="0.2">
      <c r="B36" s="6">
        <v>100.004</v>
      </c>
      <c r="C36">
        <v>1.66578</v>
      </c>
      <c r="D36">
        <v>99.996099999999998</v>
      </c>
      <c r="E36">
        <v>2.5933099999999998</v>
      </c>
      <c r="F36">
        <v>99.998400000000004</v>
      </c>
      <c r="G36" s="7">
        <v>0.79862999999999995</v>
      </c>
      <c r="H36">
        <v>100</v>
      </c>
      <c r="I36">
        <v>4.54739</v>
      </c>
      <c r="J36">
        <v>99.999700000000004</v>
      </c>
      <c r="K36">
        <v>3.5751200000000001</v>
      </c>
      <c r="L36">
        <v>99.997500000000002</v>
      </c>
      <c r="M36">
        <v>5.7637799999999997</v>
      </c>
      <c r="N36" s="6">
        <v>100.004</v>
      </c>
      <c r="O36">
        <v>6.1075999999999997</v>
      </c>
      <c r="P36">
        <v>100.002</v>
      </c>
      <c r="Q36">
        <v>3.3009300000000001</v>
      </c>
      <c r="R36">
        <v>99.999899999999997</v>
      </c>
      <c r="S36" s="7">
        <v>3.55436</v>
      </c>
    </row>
    <row r="37" spans="2:19" x14ac:dyDescent="0.2">
      <c r="B37" s="6">
        <v>125.898</v>
      </c>
      <c r="C37">
        <v>1.5260199999999999</v>
      </c>
      <c r="D37">
        <v>125.889</v>
      </c>
      <c r="E37">
        <v>2.3212999999999999</v>
      </c>
      <c r="F37">
        <v>125.893</v>
      </c>
      <c r="G37" s="7">
        <v>0.68475699999999995</v>
      </c>
      <c r="H37">
        <v>125.89400000000001</v>
      </c>
      <c r="I37">
        <v>3.5195400000000001</v>
      </c>
      <c r="J37">
        <v>125.892</v>
      </c>
      <c r="K37">
        <v>2.7601100000000001</v>
      </c>
      <c r="L37">
        <v>125.887</v>
      </c>
      <c r="M37">
        <v>4.4809700000000001</v>
      </c>
      <c r="N37" s="6">
        <v>125.892</v>
      </c>
      <c r="O37">
        <v>4.8018799999999997</v>
      </c>
      <c r="P37">
        <v>125.889</v>
      </c>
      <c r="Q37">
        <v>2.83385</v>
      </c>
      <c r="R37">
        <v>125.893</v>
      </c>
      <c r="S37" s="7">
        <v>2.8813599999999999</v>
      </c>
    </row>
    <row r="38" spans="2:19" x14ac:dyDescent="0.2">
      <c r="B38" s="6">
        <v>158.495</v>
      </c>
      <c r="C38">
        <v>1.2480599999999999</v>
      </c>
      <c r="D38">
        <v>158.48400000000001</v>
      </c>
      <c r="E38">
        <v>1.9695100000000001</v>
      </c>
      <c r="F38">
        <v>158.49</v>
      </c>
      <c r="G38" s="7">
        <v>0.57394100000000003</v>
      </c>
      <c r="H38">
        <v>158.489</v>
      </c>
      <c r="I38">
        <v>2.7790300000000001</v>
      </c>
      <c r="J38">
        <v>158.489</v>
      </c>
      <c r="K38">
        <v>2.1602899999999998</v>
      </c>
      <c r="L38">
        <v>158.48400000000001</v>
      </c>
      <c r="M38">
        <v>3.4380000000000002</v>
      </c>
      <c r="N38" s="6">
        <v>158.489</v>
      </c>
      <c r="O38">
        <v>3.7326199999999998</v>
      </c>
      <c r="P38">
        <v>158.489</v>
      </c>
      <c r="Q38">
        <v>2.4672700000000001</v>
      </c>
      <c r="R38">
        <v>158.49199999999999</v>
      </c>
      <c r="S38" s="7">
        <v>2.3741599999999998</v>
      </c>
    </row>
    <row r="39" spans="2:19" x14ac:dyDescent="0.2">
      <c r="B39" s="6">
        <v>199.535</v>
      </c>
      <c r="C39">
        <v>1.10232</v>
      </c>
      <c r="D39">
        <v>199.52199999999999</v>
      </c>
      <c r="E39">
        <v>1.6551100000000001</v>
      </c>
      <c r="F39">
        <v>199.53</v>
      </c>
      <c r="G39" s="7">
        <v>0.47850700000000002</v>
      </c>
      <c r="H39">
        <v>199.52600000000001</v>
      </c>
      <c r="I39">
        <v>2.2069800000000002</v>
      </c>
      <c r="J39">
        <v>199.52799999999999</v>
      </c>
      <c r="K39">
        <v>1.68842</v>
      </c>
      <c r="L39">
        <v>199.51900000000001</v>
      </c>
      <c r="M39">
        <v>2.6678199999999999</v>
      </c>
      <c r="N39" s="6">
        <v>199.524</v>
      </c>
      <c r="O39">
        <v>2.9114200000000001</v>
      </c>
      <c r="P39">
        <v>199.51900000000001</v>
      </c>
      <c r="Q39">
        <v>2.2072400000000001</v>
      </c>
      <c r="R39">
        <v>199.53200000000001</v>
      </c>
      <c r="S39" s="7">
        <v>1.9812799999999999</v>
      </c>
    </row>
    <row r="40" spans="2:19" x14ac:dyDescent="0.2">
      <c r="B40" s="6">
        <v>251.19800000000001</v>
      </c>
      <c r="C40">
        <v>0.93684100000000003</v>
      </c>
      <c r="D40">
        <v>251.18299999999999</v>
      </c>
      <c r="E40">
        <v>1.33317</v>
      </c>
      <c r="F40">
        <v>251.196</v>
      </c>
      <c r="G40" s="7">
        <v>0.39956799999999998</v>
      </c>
      <c r="H40">
        <v>251.18299999999999</v>
      </c>
      <c r="I40">
        <v>1.77647</v>
      </c>
      <c r="J40">
        <v>251.191</v>
      </c>
      <c r="K40">
        <v>1.3432599999999999</v>
      </c>
      <c r="L40">
        <v>251.17500000000001</v>
      </c>
      <c r="M40">
        <v>2.0875699999999999</v>
      </c>
      <c r="N40" s="6">
        <v>251.196</v>
      </c>
      <c r="O40">
        <v>2.3967100000000001</v>
      </c>
      <c r="P40">
        <v>251.17599999999999</v>
      </c>
      <c r="Q40">
        <v>2.0464799999999999</v>
      </c>
      <c r="R40">
        <v>251.191</v>
      </c>
      <c r="S40" s="7">
        <v>1.6734599999999999</v>
      </c>
    </row>
    <row r="41" spans="2:19" x14ac:dyDescent="0.2">
      <c r="B41" s="6">
        <v>316.24099999999999</v>
      </c>
      <c r="C41">
        <v>0.81972199999999995</v>
      </c>
      <c r="D41">
        <v>316.22300000000001</v>
      </c>
      <c r="E41">
        <v>1.1298999999999999</v>
      </c>
      <c r="F41">
        <v>316.22699999999998</v>
      </c>
      <c r="G41" s="7">
        <v>0.323326</v>
      </c>
      <c r="H41">
        <v>316.226</v>
      </c>
      <c r="I41">
        <v>1.41229</v>
      </c>
      <c r="J41">
        <v>316.22300000000001</v>
      </c>
      <c r="K41">
        <v>1.0701000000000001</v>
      </c>
      <c r="L41">
        <v>316.21899999999999</v>
      </c>
      <c r="M41">
        <v>1.6360600000000001</v>
      </c>
      <c r="N41" s="6">
        <v>316.23399999999998</v>
      </c>
      <c r="O41">
        <v>1.89903</v>
      </c>
      <c r="P41">
        <v>316.22000000000003</v>
      </c>
      <c r="Q41">
        <v>1.8892899999999999</v>
      </c>
      <c r="R41">
        <v>316.23700000000002</v>
      </c>
      <c r="S41" s="7">
        <v>1.3644400000000001</v>
      </c>
    </row>
    <row r="42" spans="2:19" x14ac:dyDescent="0.2">
      <c r="B42" s="6">
        <v>398.13200000000001</v>
      </c>
      <c r="C42">
        <v>0.69581000000000004</v>
      </c>
      <c r="D42">
        <v>398.12</v>
      </c>
      <c r="E42">
        <v>0.93630599999999997</v>
      </c>
      <c r="F42">
        <v>398.12099999999998</v>
      </c>
      <c r="G42" s="7">
        <v>0.264847</v>
      </c>
      <c r="H42">
        <v>398.096</v>
      </c>
      <c r="I42">
        <v>1.1313899999999999</v>
      </c>
      <c r="J42">
        <v>398.10599999999999</v>
      </c>
      <c r="K42">
        <v>0.84943599999999997</v>
      </c>
      <c r="L42">
        <v>398.10500000000002</v>
      </c>
      <c r="M42">
        <v>1.2791699999999999</v>
      </c>
      <c r="N42" s="6">
        <v>398.11</v>
      </c>
      <c r="O42">
        <v>1.47339</v>
      </c>
      <c r="P42">
        <v>398.09500000000003</v>
      </c>
      <c r="Q42">
        <v>1.6680999999999999</v>
      </c>
      <c r="R42">
        <v>398.11099999999999</v>
      </c>
      <c r="S42" s="7">
        <v>1.10575</v>
      </c>
    </row>
    <row r="43" spans="2:19" x14ac:dyDescent="0.2">
      <c r="B43" s="6">
        <v>501.20400000000001</v>
      </c>
      <c r="C43">
        <v>0.54980600000000002</v>
      </c>
      <c r="D43">
        <v>501.17500000000001</v>
      </c>
      <c r="E43">
        <v>0.83474999999999999</v>
      </c>
      <c r="F43">
        <v>501.17899999999997</v>
      </c>
      <c r="G43" s="7">
        <v>0.22752</v>
      </c>
      <c r="H43">
        <v>501.18599999999998</v>
      </c>
      <c r="I43">
        <v>0.90594399999999997</v>
      </c>
      <c r="J43">
        <v>501.17099999999999</v>
      </c>
      <c r="K43">
        <v>0.67511500000000002</v>
      </c>
      <c r="L43">
        <v>501.166</v>
      </c>
      <c r="M43">
        <v>1.01606</v>
      </c>
      <c r="N43" s="6">
        <v>501.19799999999998</v>
      </c>
      <c r="O43">
        <v>1.1969099999999999</v>
      </c>
      <c r="P43">
        <v>501.19499999999999</v>
      </c>
      <c r="Q43">
        <v>1.3627199999999999</v>
      </c>
      <c r="R43">
        <v>501.21</v>
      </c>
      <c r="S43" s="7">
        <v>0.89183299999999999</v>
      </c>
    </row>
    <row r="44" spans="2:19" x14ac:dyDescent="0.2">
      <c r="B44" s="6">
        <v>630.93799999999999</v>
      </c>
      <c r="C44">
        <v>0.47836800000000002</v>
      </c>
      <c r="D44">
        <v>630.93700000000001</v>
      </c>
      <c r="E44">
        <v>0.67881499999999995</v>
      </c>
      <c r="F44">
        <v>630.93700000000001</v>
      </c>
      <c r="G44" s="7">
        <v>0.19047500000000001</v>
      </c>
      <c r="H44">
        <v>630.93399999999997</v>
      </c>
      <c r="I44">
        <v>0.72363</v>
      </c>
      <c r="J44">
        <v>630.94600000000003</v>
      </c>
      <c r="K44">
        <v>0.52986500000000003</v>
      </c>
      <c r="L44">
        <v>630.93200000000002</v>
      </c>
      <c r="M44">
        <v>0.80422199999999999</v>
      </c>
      <c r="N44" s="6">
        <v>630.97199999999998</v>
      </c>
      <c r="O44">
        <v>0.94186000000000003</v>
      </c>
      <c r="P44">
        <v>630.96500000000003</v>
      </c>
      <c r="Q44">
        <v>1.0341499999999999</v>
      </c>
      <c r="R44">
        <v>630.98</v>
      </c>
      <c r="S44" s="7">
        <v>0.68081199999999997</v>
      </c>
    </row>
    <row r="45" spans="2:19" x14ac:dyDescent="0.2">
      <c r="B45" s="6">
        <v>794.37300000000005</v>
      </c>
      <c r="C45">
        <v>0.43487700000000001</v>
      </c>
      <c r="D45">
        <v>794.29499999999996</v>
      </c>
      <c r="E45">
        <v>0.53988199999999997</v>
      </c>
      <c r="F45">
        <v>794.31700000000001</v>
      </c>
      <c r="G45" s="7">
        <v>0.163685</v>
      </c>
      <c r="H45">
        <v>794.32</v>
      </c>
      <c r="I45">
        <v>0.56977800000000001</v>
      </c>
      <c r="J45">
        <v>794.35</v>
      </c>
      <c r="K45">
        <v>0.45328499999999999</v>
      </c>
      <c r="L45">
        <v>794.298</v>
      </c>
      <c r="M45">
        <v>0.60573500000000002</v>
      </c>
      <c r="N45" s="6">
        <v>794.34699999999998</v>
      </c>
      <c r="O45">
        <v>0.71703899999999998</v>
      </c>
      <c r="P45">
        <v>794.31500000000005</v>
      </c>
      <c r="Q45">
        <v>0.78826799999999997</v>
      </c>
      <c r="R45">
        <v>794.30700000000002</v>
      </c>
      <c r="S45" s="7">
        <v>0.53669199999999995</v>
      </c>
    </row>
    <row r="46" spans="2:19" x14ac:dyDescent="0.2">
      <c r="B46" s="8">
        <v>1000.07</v>
      </c>
      <c r="C46" s="27">
        <v>0.36299100000000001</v>
      </c>
      <c r="D46" s="27">
        <v>999.97</v>
      </c>
      <c r="E46" s="27">
        <v>0.44192799999999999</v>
      </c>
      <c r="F46" s="27">
        <v>1000.01</v>
      </c>
      <c r="G46" s="9">
        <v>0.137076</v>
      </c>
      <c r="H46">
        <v>999.99599999999998</v>
      </c>
      <c r="I46">
        <v>0.45254499999999998</v>
      </c>
      <c r="J46">
        <v>999.99599999999998</v>
      </c>
      <c r="K46">
        <v>0.36319200000000001</v>
      </c>
      <c r="L46">
        <v>999.96100000000001</v>
      </c>
      <c r="M46">
        <v>0.47354099999999999</v>
      </c>
      <c r="N46" s="8">
        <v>1000.03</v>
      </c>
      <c r="O46" s="27">
        <v>0.54529499999999997</v>
      </c>
      <c r="P46" s="27">
        <v>999.98400000000004</v>
      </c>
      <c r="Q46" s="27">
        <v>0.60498799999999997</v>
      </c>
      <c r="R46" s="27">
        <v>1000.05</v>
      </c>
      <c r="S46" s="9">
        <v>0.41613099999999997</v>
      </c>
    </row>
  </sheetData>
  <mergeCells count="5">
    <mergeCell ref="B2:S2"/>
    <mergeCell ref="B3:G3"/>
    <mergeCell ref="H3:M3"/>
    <mergeCell ref="N3:S3"/>
    <mergeCell ref="B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4351-3ADC-0B44-BEC5-E836B6BF7254}">
  <dimension ref="A1:H7"/>
  <sheetViews>
    <sheetView workbookViewId="0">
      <selection activeCell="M22" sqref="M22"/>
    </sheetView>
  </sheetViews>
  <sheetFormatPr baseColWidth="10" defaultRowHeight="16" x14ac:dyDescent="0.2"/>
  <cols>
    <col min="2" max="2" width="15.1640625" customWidth="1"/>
  </cols>
  <sheetData>
    <row r="1" spans="1:8" ht="22" x14ac:dyDescent="0.3">
      <c r="A1" s="1" t="s">
        <v>50</v>
      </c>
      <c r="B1" s="1"/>
      <c r="C1" s="1"/>
      <c r="D1" s="1"/>
      <c r="E1" s="1"/>
      <c r="F1" s="1"/>
      <c r="G1" s="1"/>
      <c r="H1" s="1"/>
    </row>
    <row r="2" spans="1:8" x14ac:dyDescent="0.2">
      <c r="A2" s="73" t="s">
        <v>59</v>
      </c>
      <c r="B2" s="73"/>
      <c r="C2" s="73"/>
      <c r="D2" s="73"/>
      <c r="E2" s="73"/>
      <c r="F2" s="73"/>
      <c r="G2" s="73"/>
      <c r="H2" s="73"/>
    </row>
    <row r="4" spans="1:8" ht="34" x14ac:dyDescent="0.2">
      <c r="A4" s="61" t="s">
        <v>20</v>
      </c>
      <c r="B4" s="61"/>
      <c r="C4" s="57" t="s">
        <v>51</v>
      </c>
      <c r="D4" s="57"/>
      <c r="E4" s="57"/>
      <c r="F4" s="58" t="s">
        <v>52</v>
      </c>
      <c r="G4" s="59" t="s">
        <v>53</v>
      </c>
      <c r="H4" s="60" t="s">
        <v>54</v>
      </c>
    </row>
    <row r="5" spans="1:8" x14ac:dyDescent="0.2">
      <c r="A5" s="22">
        <v>0</v>
      </c>
      <c r="B5" s="23" t="s">
        <v>21</v>
      </c>
      <c r="C5">
        <v>21.408999999999999</v>
      </c>
      <c r="D5">
        <v>27.954000000000001</v>
      </c>
      <c r="E5">
        <v>28.050999999999998</v>
      </c>
      <c r="F5">
        <v>3</v>
      </c>
      <c r="G5">
        <f>SUM(C5:E5)/3</f>
        <v>25.804666666666666</v>
      </c>
      <c r="H5">
        <f>STDEV(C5,D5,E5)</f>
        <v>3.8070679444072533</v>
      </c>
    </row>
    <row r="6" spans="1:8" x14ac:dyDescent="0.2">
      <c r="A6" s="24">
        <v>0.05</v>
      </c>
      <c r="B6" s="25" t="s">
        <v>21</v>
      </c>
      <c r="C6" s="26">
        <v>111.12</v>
      </c>
      <c r="D6" s="26">
        <v>106.41</v>
      </c>
      <c r="E6" s="26">
        <v>114.54</v>
      </c>
      <c r="F6" s="26">
        <v>3</v>
      </c>
      <c r="G6" s="26">
        <f>SUM(C6:E6)/3</f>
        <v>110.69</v>
      </c>
      <c r="H6" s="37">
        <f>STDEV(C6,D6,E6)</f>
        <v>4.0820215580028538</v>
      </c>
    </row>
    <row r="7" spans="1:8" ht="17" customHeight="1" x14ac:dyDescent="0.2">
      <c r="A7" s="28">
        <v>0.1</v>
      </c>
      <c r="B7" s="25" t="s">
        <v>21</v>
      </c>
      <c r="C7" s="26">
        <v>139.84</v>
      </c>
      <c r="D7" s="26">
        <v>156.53</v>
      </c>
      <c r="E7" s="26">
        <v>150.72</v>
      </c>
      <c r="F7" s="26">
        <v>3</v>
      </c>
      <c r="G7" s="26">
        <f>SUM(C7:E7)/3</f>
        <v>149.03</v>
      </c>
      <c r="H7" s="26">
        <f>STDEV(C7,D7,E7)</f>
        <v>8.4723727491181577</v>
      </c>
    </row>
  </sheetData>
  <mergeCells count="4">
    <mergeCell ref="A1:H1"/>
    <mergeCell ref="A2:H2"/>
    <mergeCell ref="C4:E4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AttenuationCoefficients</vt:lpstr>
      <vt:lpstr>BulkModulus</vt:lpstr>
      <vt:lpstr>Density</vt:lpstr>
      <vt:lpstr>SpeedOfSound</vt:lpstr>
      <vt:lpstr>Viscosities</vt:lpstr>
      <vt:lpstr>YoungsModulus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Jariwala, Megan Anderson</dc:creator>
  <cp:lastModifiedBy>Jariwala, Megan Anderson</cp:lastModifiedBy>
  <dcterms:created xsi:type="dcterms:W3CDTF">2024-08-04T18:31:56Z</dcterms:created>
  <dcterms:modified xsi:type="dcterms:W3CDTF">2024-08-04T21:08:14Z</dcterms:modified>
</cp:coreProperties>
</file>